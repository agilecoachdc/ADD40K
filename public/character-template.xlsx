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r_sheet" sheetId="1" r:id="rId1"/>
    <sheet name="données" sheetId="2" r:id="rId2"/>
    <sheet name="lis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G1:FG237"/>
  <sheetViews>
    <sheetView workbookViewId="0" rightToLeft="0"/>
  </sheetViews>
  <sheetData>
    <row r="6">
      <c r="I6" t="str">
        <v>Nom:</v>
      </c>
      <c r="N6" t="str">
        <v>Conrad Lingus</v>
      </c>
      <c r="X6" t="str">
        <v>Age:</v>
      </c>
      <c r="AC6">
        <v>67</v>
      </c>
      <c r="AM6" t="str">
        <v>Taille:</v>
      </c>
      <c r="AR6" t="str">
        <v>1.80</v>
      </c>
    </row>
    <row r="8">
      <c r="BC8" t="str">
        <v>HP</v>
      </c>
      <c r="BH8">
        <f>'données'!E24</f>
        <v>35</v>
      </c>
      <c r="BL8" t="str">
        <v>/</v>
      </c>
      <c r="BN8">
        <f>'données'!E24</f>
        <v>35</v>
      </c>
      <c r="BT8" t="str">
        <v>PSP</v>
      </c>
      <c r="BY8">
        <f>'données'!E25</f>
        <v>55</v>
      </c>
      <c r="CC8" t="str">
        <v>/</v>
      </c>
      <c r="CE8">
        <f>'données'!E25</f>
        <v>55</v>
      </c>
    </row>
    <row r="9">
      <c r="I9" t="str">
        <v>Loyauté:</v>
      </c>
      <c r="O9" t="str">
        <v>Alliance</v>
      </c>
      <c r="X9" t="str">
        <v>Poids:</v>
      </c>
      <c r="AD9" t="str">
        <v>80kg</v>
      </c>
      <c r="AM9" t="str">
        <v>Fonction:</v>
      </c>
      <c r="AS9" t="str">
        <v>Officier</v>
      </c>
      <c r="CZ9" t="str">
        <v>Equipement</v>
      </c>
      <c r="EN9" t="str">
        <v>Réputations</v>
      </c>
    </row>
    <row r="12">
      <c r="I12" t="str">
        <v>Race:</v>
      </c>
      <c r="O12" t="str">
        <f>'données'!C2</f>
        <v>gith</v>
      </c>
      <c r="DD12" t="str">
        <v>Neuromat</v>
      </c>
    </row>
    <row r="13">
      <c r="FG13" t="str">
        <v>score</v>
      </c>
    </row>
    <row r="15">
      <c r="DD15" t="str">
        <v>Interface palmaire</v>
      </c>
    </row>
    <row r="18">
      <c r="DD18" t="str">
        <v>Cyberfoie bio</v>
      </c>
    </row>
    <row r="19">
      <c r="ER19" t="str">
        <v>ALM</v>
      </c>
      <c r="FG19">
        <v>4</v>
      </c>
    </row>
    <row r="20">
      <c r="T20" t="str">
        <v>TA</v>
      </c>
      <c r="Y20">
        <f>'données'!B24</f>
        <v>0</v>
      </c>
    </row>
    <row r="21">
      <c r="DD21" t="str">
        <v>Cyberpoumons bio</v>
      </c>
    </row>
    <row r="23">
      <c r="G23" t="str">
        <v>Attributs</v>
      </c>
      <c r="AI23" t="str">
        <v>Compétences</v>
      </c>
      <c r="BG23" t="str">
        <v>Avantages et inconvénients</v>
      </c>
    </row>
    <row r="24">
      <c r="DD24" t="str">
        <v>Nano patches</v>
      </c>
    </row>
    <row r="27">
      <c r="N27" t="str">
        <v>score</v>
      </c>
      <c r="S27" t="str">
        <v>racial</v>
      </c>
      <c r="X27" t="str">
        <v>tech</v>
      </c>
      <c r="AC27" t="str">
        <v>total</v>
      </c>
      <c r="AX27" t="str">
        <v>score</v>
      </c>
      <c r="BG27" t="str">
        <v>description</v>
      </c>
      <c r="CG27" t="str">
        <v>score</v>
      </c>
      <c r="DD27" t="str">
        <v>Patches RGx2</v>
      </c>
    </row>
    <row r="30">
      <c r="I30" t="str">
        <v>FO</v>
      </c>
      <c r="N30">
        <f>'données'!B6</f>
        <v>0</v>
      </c>
      <c r="S30">
        <f>'données'!D6</f>
        <v>0</v>
      </c>
      <c r="X30" t="str">
        <f>'données'!F6</f>
        <v/>
      </c>
      <c r="AC30">
        <f>'données'!H6</f>
        <v>0</v>
      </c>
      <c r="AI30" t="str">
        <f>IF('données'!J3="","",'données'!J3)</f>
        <v>Commandement (COM)</v>
      </c>
      <c r="AX30">
        <f>IF('données'!K3="","",'données'!K3)</f>
        <v>6</v>
      </c>
      <c r="BG30" t="str">
        <f>IF('données'!J28="","",'données'!J28)</f>
        <v>Réputation : +20</v>
      </c>
      <c r="CG30">
        <f>IF('données'!K28="","",'données'!K28)</f>
        <v>20</v>
      </c>
      <c r="DD30" t="str">
        <v>Peluche Rakshasa</v>
      </c>
    </row>
    <row r="33">
      <c r="AI33" t="str">
        <f>IF('données'!J4="","",'données'!J4)</f>
        <v>Persuasion (COM)</v>
      </c>
      <c r="AX33">
        <f>IF('données'!K4="","",'données'!K4)</f>
        <v>6</v>
      </c>
      <c r="BG33" t="str">
        <f>IF('données'!J29="","",'données'!J29)</f>
        <v>Affinité : + 20</v>
      </c>
      <c r="CG33">
        <f>IF('données'!K29="","",'données'!K29)</f>
        <v>20</v>
      </c>
      <c r="DD33" t="str">
        <v>Communicateur Alphacien</v>
      </c>
    </row>
    <row r="35">
      <c r="I35" t="str">
        <v>VIT</v>
      </c>
      <c r="N35">
        <f>'données'!B8</f>
        <v>-1</v>
      </c>
      <c r="S35">
        <f>'données'!D8</f>
        <v>0</v>
      </c>
      <c r="X35">
        <f>'données'!F8</f>
        <v>2</v>
      </c>
      <c r="AC35">
        <f>'données'!H8</f>
        <v>1</v>
      </c>
    </row>
    <row r="36">
      <c r="AI36" t="str">
        <f>IF('données'!J5="","",'données'!J5)</f>
        <v>Corp système (INT)</v>
      </c>
      <c r="AX36">
        <v>4</v>
      </c>
      <c r="BG36" t="str">
        <f>IF('données'!J30="","",'données'!J30)</f>
        <v>Touche-à-tout: +10</v>
      </c>
      <c r="CG36">
        <f>IF('données'!K30="","",'données'!K30)</f>
        <v>10</v>
      </c>
      <c r="DD36" t="str">
        <v>Améliorations WP : 1,1,1</v>
      </c>
    </row>
    <row r="37">
      <c r="EQ37" t="str">
        <v>Crédits</v>
      </c>
    </row>
    <row r="39">
      <c r="AI39" t="str">
        <f>IF('données'!J6="","",'données'!J6)</f>
        <v>Mêlée (DEX)</v>
      </c>
      <c r="AX39">
        <f>IF('données'!K6="","",'données'!K6)</f>
        <v>5</v>
      </c>
      <c r="BG39" t="str">
        <f>IF('données'!J31="","",'données'!J31)</f>
        <v>Réserve de PSP : +20</v>
      </c>
      <c r="CG39">
        <f>IF('données'!K31="","",'données'!K31)</f>
        <v>20</v>
      </c>
      <c r="DD39" t="str">
        <v>Simulateur : 2x/mois 3xp</v>
      </c>
    </row>
    <row r="40">
      <c r="I40" t="str">
        <v>DEX</v>
      </c>
      <c r="N40">
        <f>'données'!B10</f>
        <v>1</v>
      </c>
      <c r="S40">
        <f>'données'!D10</f>
        <v>0</v>
      </c>
      <c r="X40" t="str">
        <f>'données'!F10</f>
        <v/>
      </c>
      <c r="AC40">
        <f>'données'!H10</f>
        <v>1</v>
      </c>
    </row>
    <row r="42">
      <c r="AI42" t="str">
        <f>IF('données'!J7="","",'données'!J7)</f>
        <v>Arme de poing (PER)</v>
      </c>
      <c r="AX42">
        <f>IF('données'!K7="","",'données'!K7)</f>
        <v>5</v>
      </c>
      <c r="BG42" t="str">
        <f>IF('données'!J32="","",'données'!J32)</f>
        <v>Volonté de fer : +10</v>
      </c>
      <c r="CG42">
        <f>IF('données'!K32="","",'données'!K32)</f>
        <v>10</v>
      </c>
      <c r="DD42" t="str">
        <v>Collier A +3 resistance ment</v>
      </c>
    </row>
    <row r="45">
      <c r="I45" t="str">
        <v>REF</v>
      </c>
      <c r="N45">
        <f>'données'!B12</f>
        <v>0</v>
      </c>
      <c r="S45">
        <f>'données'!D12</f>
        <v>0</v>
      </c>
      <c r="X45" t="str">
        <f>'données'!F12</f>
        <v/>
      </c>
      <c r="AC45">
        <f>'données'!H12</f>
        <v>0</v>
      </c>
      <c r="AI45" t="str">
        <f>IF('données'!J8="","",'données'!J8)</f>
        <v>Sciences dures (DEX)</v>
      </c>
      <c r="AX45">
        <f>IF('données'!K8="","",'données'!K8)</f>
        <v>3</v>
      </c>
      <c r="BG45" t="str">
        <f>IF('données'!J33="","",'données'!J33)</f>
        <v>Ennemis : -20</v>
      </c>
      <c r="CG45">
        <f>IF('données'!K33="","",'données'!K33)</f>
        <v>-20</v>
      </c>
      <c r="DD45" t="str">
        <v>Collier Alphacien +1 volonté</v>
      </c>
    </row>
    <row r="47">
      <c r="EQ47" t="str">
        <v>XP</v>
      </c>
    </row>
    <row r="48">
      <c r="AI48" t="str">
        <f>IF('données'!J9="","",'données'!J9)</f>
        <v>Etiquette (COM)</v>
      </c>
      <c r="AX48">
        <f>IF('données'!K9="","",'données'!K9)</f>
        <v>4</v>
      </c>
      <c r="BG48" t="str">
        <f>IF('données'!J34="","",'données'!J34)</f>
        <v>Illusion: -10</v>
      </c>
      <c r="CG48">
        <f>IF('données'!K34="","",'données'!K34)</f>
        <v>-10</v>
      </c>
      <c r="DD48" t="str">
        <v>Dermteinte permanente</v>
      </c>
    </row>
    <row r="50">
      <c r="I50" t="str">
        <v>PER</v>
      </c>
      <c r="N50">
        <f>'données'!B14</f>
        <v>2</v>
      </c>
      <c r="S50">
        <f>'données'!D14</f>
        <v>0</v>
      </c>
      <c r="X50" t="str">
        <f>'données'!F14</f>
        <v/>
      </c>
      <c r="AC50">
        <f>'données'!H14</f>
        <v>2</v>
      </c>
    </row>
    <row r="51">
      <c r="AI51" t="str">
        <f>IF('données'!J10="","",'données'!J10)</f>
        <v>Déguisement (DEX)</v>
      </c>
      <c r="AX51">
        <f>IF('données'!K10="","",'données'!K10)</f>
        <v>5</v>
      </c>
      <c r="BG51" t="str">
        <f>IF('données'!J35="","",'données'!J35)</f>
        <v>Secret: -10</v>
      </c>
      <c r="CG51">
        <f>IF('données'!K35="","",'données'!K35)</f>
        <v>-10</v>
      </c>
      <c r="DD51" t="str">
        <v>Medaillon Git +1 vol</v>
      </c>
    </row>
    <row r="54">
      <c r="AI54" t="str">
        <f>IF('données'!J11="","",'données'!J11)</f>
        <v>Conn. des rues (PER)</v>
      </c>
      <c r="AX54">
        <f>IF('données'!K11="","",'données'!K11)</f>
        <v>5</v>
      </c>
      <c r="BG54" t="str">
        <f>IF('données'!J36="","",'données'!J36)</f>
        <v>Dans les nuages: -30</v>
      </c>
      <c r="CG54">
        <f>IF('données'!K36="","",'données'!K36)</f>
        <v>20</v>
      </c>
      <c r="DD54" t="str">
        <v>Booster vit</v>
      </c>
    </row>
    <row r="55">
      <c r="I55" t="str">
        <v>COM</v>
      </c>
      <c r="N55">
        <f>'données'!B16</f>
        <v>2</v>
      </c>
      <c r="S55">
        <f>'données'!D16</f>
        <v>0</v>
      </c>
      <c r="X55" t="str">
        <f>'données'!F16</f>
        <v/>
      </c>
      <c r="AC55">
        <f>'données'!H16</f>
        <v>2</v>
      </c>
    </row>
    <row r="57">
      <c r="AI57" t="str">
        <f>IF('données'!J12="","",'données'!J12)</f>
        <v>Affinité (VOL) Téléportation</v>
      </c>
      <c r="AX57">
        <f>IF('données'!K12="","",'données'!K12)</f>
        <v>5</v>
      </c>
      <c r="BG57" t="str">
        <v>Résistance à la manipulation : 10</v>
      </c>
      <c r="CG57">
        <v>10</v>
      </c>
    </row>
    <row r="60">
      <c r="I60" t="str">
        <v>INT</v>
      </c>
      <c r="N60">
        <v>2</v>
      </c>
      <c r="S60">
        <f>'données'!D18</f>
        <v>1</v>
      </c>
      <c r="X60" t="str">
        <f>'données'!F18</f>
        <v/>
      </c>
      <c r="AC60">
        <f>'données'!H18</f>
        <v>3</v>
      </c>
      <c r="AI60" t="str">
        <f>IF('données'!J13="","",'données'!J13)</f>
        <v>Sens (PER)</v>
      </c>
      <c r="AX60">
        <f>IF('données'!K13="","",'données'!K13)</f>
        <v>3</v>
      </c>
      <c r="BG60" t="str">
        <f>IF('données'!J38="","",'données'!J38)</f>
        <v/>
      </c>
      <c r="CG60" t="str">
        <f>IF('données'!K38="","",'données'!K38)</f>
        <v/>
      </c>
    </row>
    <row r="63">
      <c r="AI63" t="str">
        <v>Athlétisme</v>
      </c>
      <c r="AX63">
        <v>3</v>
      </c>
      <c r="BG63" t="str">
        <f>IF('données'!J39="","",'données'!J39)</f>
        <v/>
      </c>
      <c r="CG63" t="str">
        <f>IF('données'!K39="","",'données'!K39)</f>
        <v/>
      </c>
    </row>
    <row r="65">
      <c r="I65" t="str">
        <v>VOL</v>
      </c>
      <c r="N65">
        <f>'données'!B20</f>
        <v>2</v>
      </c>
      <c r="S65">
        <f>'données'!D20</f>
        <v>1</v>
      </c>
      <c r="X65">
        <f>'données'!F20</f>
        <v>2</v>
      </c>
      <c r="AC65">
        <f>'données'!H20</f>
        <v>5</v>
      </c>
    </row>
    <row r="77">
      <c r="G77" t="str">
        <v>Armes</v>
      </c>
      <c r="BG77" t="str">
        <v>Armures</v>
      </c>
    </row>
    <row r="81">
      <c r="AF81" t="str">
        <v>RA</v>
      </c>
      <c r="AJ81" t="str">
        <v>Dmg</v>
      </c>
      <c r="AO81" t="str">
        <v>type</v>
      </c>
      <c r="AT81" t="str">
        <v>Amu</v>
      </c>
      <c r="AY81" t="str">
        <v>jet</v>
      </c>
    </row>
    <row r="83">
      <c r="J83" t="str">
        <f>IF('données'!O3="","",'données'!O3)</f>
        <v>Wild Predator</v>
      </c>
      <c r="AF83">
        <f>IF('données'!R3="","",5+'données'!R3-listes!L60)</f>
        <v>6</v>
      </c>
      <c r="AJ83">
        <f>IF('données'!Q3="","",'données'!Q3+listes!L59)</f>
        <v>8</v>
      </c>
      <c r="AO83" t="str">
        <f>IF('données'!P3="","",'données'!P3)</f>
        <v>Fire</v>
      </c>
      <c r="AY83">
        <f>'données'!H14+'données'!K7+listes!L58</f>
        <v>8</v>
      </c>
      <c r="BG83" t="str">
        <f>'données'!O13</f>
        <v>Kevlar (torse)</v>
      </c>
    </row>
    <row r="86">
      <c r="J86" t="str">
        <f>IF('données'!O4="","",'données'!O4)</f>
        <v>couteaux</v>
      </c>
      <c r="AF86">
        <f>IF('données'!R4="","",5+'données'!R4)</f>
        <v>6</v>
      </c>
      <c r="AJ86">
        <f>IF('données'!Q4="","",'données'!Q4)</f>
        <v>3</v>
      </c>
      <c r="AO86" t="str">
        <f>IF('données'!P4="","",'données'!P4)</f>
        <v>Mêl</v>
      </c>
      <c r="AY86">
        <f>'données'!H14+'données'!K6</f>
        <v>7</v>
      </c>
      <c r="BG86" t="str">
        <v>Peau Tissée</v>
      </c>
    </row>
    <row r="89">
      <c r="J89" t="str">
        <f>IF('données'!O5="","",'données'!O5)</f>
        <v>INDRA</v>
      </c>
      <c r="AF89">
        <f>IF('données'!R5="","",5+'données'!R5)</f>
        <v>8</v>
      </c>
      <c r="AJ89">
        <f>IF('données'!Q5="","",'données'!Q5)</f>
        <v>7</v>
      </c>
      <c r="AO89" t="str">
        <f>IF('données'!P5="","",'données'!P5)</f>
        <v>Fire</v>
      </c>
      <c r="AY89">
        <f>'données'!H14+'données'!K7</f>
        <v>7</v>
      </c>
      <c r="BG89" t="str">
        <f>'données'!O15</f>
        <v>Kevlar Suit</v>
      </c>
    </row>
    <row r="92">
      <c r="J92" t="str">
        <f>IF('données'!O6="","",'données'!O6)</f>
        <v>Grenade à fragmentation</v>
      </c>
      <c r="AF92">
        <f>IF('données'!R6="","",5+'données'!R6)</f>
        <v>7</v>
      </c>
      <c r="AJ92">
        <f>IF('données'!Q6="","",'données'!Q6)</f>
        <v>6</v>
      </c>
      <c r="AO92" t="str">
        <f>IF('données'!P6="","",'données'!P6)</f>
        <v>Jet</v>
      </c>
      <c r="AY92">
        <f>'données'!H14+'données'!K6</f>
        <v>7</v>
      </c>
      <c r="BG92" t="str">
        <f>IF('données'!O16="","",'données'!O16)</f>
        <v/>
      </c>
    </row>
    <row r="95">
      <c r="J95" t="str">
        <v>Widowmaker</v>
      </c>
      <c r="AF95">
        <v>8</v>
      </c>
      <c r="AJ95">
        <f>IF('données'!Q7="","",'données'!Q7)</f>
        <v>11</v>
      </c>
      <c r="AO95" t="str">
        <v>Fire</v>
      </c>
      <c r="AY95">
        <v>7</v>
      </c>
      <c r="BG95" t="str">
        <f>IF('données'!O17="","",'données'!O17)</f>
        <v/>
      </c>
    </row>
    <row r="98">
      <c r="BS98">
        <f>'données'!P18</f>
        <v>5</v>
      </c>
    </row>
    <row r="107">
      <c r="G107" t="str">
        <v>Pouvoirs PSY</v>
      </c>
    </row>
    <row r="108">
      <c r="BS108">
        <f>'données'!R18</f>
        <v>17</v>
      </c>
    </row>
    <row r="111">
      <c r="J111" t="str">
        <v>description</v>
      </c>
      <c r="AF111" t="str">
        <v>RA</v>
      </c>
      <c r="AK111" t="str">
        <v>score</v>
      </c>
      <c r="AP111" t="str">
        <v>dsicipline</v>
      </c>
    </row>
    <row r="113">
      <c r="BK113">
        <f>'données'!Q18</f>
        <v>11</v>
      </c>
      <c r="CA113">
        <f>'données'!Q18</f>
        <v>11</v>
      </c>
    </row>
    <row r="114">
      <c r="J114" t="str">
        <f>IF('données'!J19="","",'données'!J19)</f>
        <v>Téléportation</v>
      </c>
      <c r="AF114">
        <f>IF('données'!J19="","",5-AC45)</f>
        <v>5</v>
      </c>
      <c r="AK114">
        <f>'données'!H20+'données'!K12+'données'!K19</f>
        <v>16</v>
      </c>
      <c r="AP114" t="str">
        <f>IF('données'!M19="","",'données'!M19)</f>
        <v>Psychokinésie</v>
      </c>
    </row>
    <row r="117">
      <c r="J117" t="str">
        <f>IF('données'!J20="","",'données'!J20)</f>
        <v/>
      </c>
      <c r="AF117" t="str">
        <f>IF('données'!J20="","",5-AC45)</f>
        <v/>
      </c>
      <c r="AK117" t="str">
        <f>IF('données'!K20="","",'données'!K20)</f>
        <v/>
      </c>
      <c r="AP117" t="str">
        <f>IF('données'!M20="","",'données'!M20)</f>
        <v/>
      </c>
    </row>
    <row r="120">
      <c r="J120" t="str">
        <f>IF('données'!J21="","",'données'!J21)</f>
        <v/>
      </c>
      <c r="AF120" t="str">
        <f>IF('données'!J21="","",5-AC45)</f>
        <v/>
      </c>
      <c r="AK120" t="str">
        <f>IF('données'!K21="","",'données'!K21)</f>
        <v/>
      </c>
      <c r="AP120" t="str">
        <f>IF('données'!M21="","",'données'!M21)</f>
        <v/>
      </c>
    </row>
    <row r="123">
      <c r="J123" t="str">
        <f>IF('données'!J22="","",'données'!J22)</f>
        <v/>
      </c>
      <c r="AF123" t="str">
        <f>IF('données'!J22="","",5-AC45)</f>
        <v/>
      </c>
      <c r="AK123" t="str">
        <f>IF('données'!K22="","",'données'!K22)</f>
        <v/>
      </c>
      <c r="AP123" t="str">
        <f>IF('données'!M22="","",'données'!M22)</f>
        <v/>
      </c>
    </row>
    <row r="126">
      <c r="J126" t="str">
        <f>IF('données'!J23="","",'données'!J23)</f>
        <v/>
      </c>
      <c r="AF126" t="str">
        <f>IF('données'!J23="","",5-AC45)</f>
        <v/>
      </c>
      <c r="AK126" t="str">
        <f>IF('données'!K23="","",'données'!K23)</f>
        <v/>
      </c>
      <c r="AP126" t="str">
        <f>IF('données'!M23="","",'données'!M23)</f>
        <v/>
      </c>
    </row>
    <row r="127">
      <c r="BM127">
        <f>'données'!S18</f>
        <v>11</v>
      </c>
      <c r="BY127">
        <f>'données'!S18</f>
        <v>11</v>
      </c>
    </row>
    <row r="129">
      <c r="AS129" t="str">
        <v>Localisations</v>
      </c>
    </row>
    <row r="131" xml:space="preserve">
      <c r="AT131" t="str" xml:space="preserve">
        <v xml:space="preserve">1-2 jambe g.
3-4 jambe d.
5,6,7 torse
8 bras g.
9 bras d.
10 tête</v>
      </c>
    </row>
  </sheetData>
  <mergeCells count="227">
    <mergeCell ref="ER25:FE26"/>
    <mergeCell ref="ER28:FE29"/>
    <mergeCell ref="FG28:FJ29"/>
    <mergeCell ref="ER22:FE23"/>
    <mergeCell ref="FG22:FJ23"/>
    <mergeCell ref="BG23:CE24"/>
    <mergeCell ref="FG25:FJ26"/>
    <mergeCell ref="BG27:BU28"/>
    <mergeCell ref="CG27:CJ28"/>
    <mergeCell ref="DD27:EB28"/>
    <mergeCell ref="BG30:CE31"/>
    <mergeCell ref="CG30:CJ31"/>
    <mergeCell ref="DD30:EB31"/>
    <mergeCell ref="BG33:CE34"/>
    <mergeCell ref="CG33:CJ34"/>
    <mergeCell ref="BG36:CE37"/>
    <mergeCell ref="CG36:CJ37"/>
    <mergeCell ref="DD42:EB43"/>
    <mergeCell ref="DD45:EB46"/>
    <mergeCell ref="EQ47:FC48"/>
    <mergeCell ref="FH47:FT51"/>
    <mergeCell ref="DD48:EB49"/>
    <mergeCell ref="DD51:EB52"/>
    <mergeCell ref="DD54:EB55"/>
    <mergeCell ref="BG39:CE40"/>
    <mergeCell ref="CG39:CJ40"/>
    <mergeCell ref="DD39:EB40"/>
    <mergeCell ref="BG42:CE43"/>
    <mergeCell ref="CG42:CJ43"/>
    <mergeCell ref="BG45:CE46"/>
    <mergeCell ref="CG45:CJ46"/>
    <mergeCell ref="BG57:CE58"/>
    <mergeCell ref="BG60:CE61"/>
    <mergeCell ref="CG60:CJ61"/>
    <mergeCell ref="BG63:CE64"/>
    <mergeCell ref="CG63:CJ64"/>
    <mergeCell ref="BG48:CE49"/>
    <mergeCell ref="CG48:CJ49"/>
    <mergeCell ref="BG51:CE52"/>
    <mergeCell ref="CG51:CJ52"/>
    <mergeCell ref="BG54:CE55"/>
    <mergeCell ref="CG54:CJ55"/>
    <mergeCell ref="CG57:CJ58"/>
    <mergeCell ref="X9:AC10"/>
    <mergeCell ref="AD9:AK10"/>
    <mergeCell ref="AM9:AR10"/>
    <mergeCell ref="AS9:AZ10"/>
    <mergeCell ref="AI23:AT24"/>
    <mergeCell ref="AX27:BA28"/>
    <mergeCell ref="AI30:AV31"/>
    <mergeCell ref="AX30:BA31"/>
    <mergeCell ref="AI39:AV40"/>
    <mergeCell ref="AX39:BA40"/>
    <mergeCell ref="I6:M7"/>
    <mergeCell ref="N6:V7"/>
    <mergeCell ref="X6:AB7"/>
    <mergeCell ref="AC6:AK7"/>
    <mergeCell ref="AM6:AQ7"/>
    <mergeCell ref="AR6:AZ7"/>
    <mergeCell ref="BC8:BF11"/>
    <mergeCell ref="BH8:BK11"/>
    <mergeCell ref="BL8:BM11"/>
    <mergeCell ref="BN8:BQ11"/>
    <mergeCell ref="BT8:BW11"/>
    <mergeCell ref="BY8:CB11"/>
    <mergeCell ref="CC8:CD11"/>
    <mergeCell ref="CE8:CH11"/>
    <mergeCell ref="DD18:EB19"/>
    <mergeCell ref="DD21:EB22"/>
    <mergeCell ref="DD24:EB25"/>
    <mergeCell ref="CZ9:DN10"/>
    <mergeCell ref="EN9:EY10"/>
    <mergeCell ref="DD12:EB13"/>
    <mergeCell ref="FG13:FJ17"/>
    <mergeCell ref="DD15:EB16"/>
    <mergeCell ref="ER19:FE20"/>
    <mergeCell ref="FG19:FJ20"/>
    <mergeCell ref="DD33:EB34"/>
    <mergeCell ref="DD36:EB37"/>
    <mergeCell ref="EQ37:FC38"/>
    <mergeCell ref="FH37:FT41"/>
    <mergeCell ref="I9:N10"/>
    <mergeCell ref="O9:V10"/>
    <mergeCell ref="I12:N13"/>
    <mergeCell ref="O12:V13"/>
    <mergeCell ref="T20:W23"/>
    <mergeCell ref="Y20:AB23"/>
    <mergeCell ref="G23:S24"/>
    <mergeCell ref="X30:AA33"/>
    <mergeCell ref="AC30:AF33"/>
    <mergeCell ref="AI33:AV34"/>
    <mergeCell ref="AX33:BA34"/>
    <mergeCell ref="N27:Q28"/>
    <mergeCell ref="S27:V28"/>
    <mergeCell ref="X27:AA28"/>
    <mergeCell ref="AC27:AF28"/>
    <mergeCell ref="I30:L33"/>
    <mergeCell ref="N30:Q33"/>
    <mergeCell ref="S30:V33"/>
    <mergeCell ref="I35:L38"/>
    <mergeCell ref="N35:Q38"/>
    <mergeCell ref="S35:V38"/>
    <mergeCell ref="X35:AA38"/>
    <mergeCell ref="AC35:AF38"/>
    <mergeCell ref="AI36:AV37"/>
    <mergeCell ref="AX36:BA37"/>
    <mergeCell ref="I40:L43"/>
    <mergeCell ref="N40:Q43"/>
    <mergeCell ref="S40:V43"/>
    <mergeCell ref="X40:AA43"/>
    <mergeCell ref="AC40:AF43"/>
    <mergeCell ref="AI42:AV43"/>
    <mergeCell ref="AX42:BA43"/>
    <mergeCell ref="I45:L48"/>
    <mergeCell ref="N45:Q48"/>
    <mergeCell ref="S45:V48"/>
    <mergeCell ref="X45:AA48"/>
    <mergeCell ref="AC45:AF48"/>
    <mergeCell ref="AI45:AV46"/>
    <mergeCell ref="AX45:BA46"/>
    <mergeCell ref="AI57:AV58"/>
    <mergeCell ref="AI60:AV61"/>
    <mergeCell ref="AX60:BA61"/>
    <mergeCell ref="AI63:AV64"/>
    <mergeCell ref="AX63:BA64"/>
    <mergeCell ref="AI48:AV49"/>
    <mergeCell ref="AX48:BA49"/>
    <mergeCell ref="AI51:AV52"/>
    <mergeCell ref="AX51:BA52"/>
    <mergeCell ref="AI54:AV55"/>
    <mergeCell ref="AX54:BA55"/>
    <mergeCell ref="AX57:BA58"/>
    <mergeCell ref="I55:L58"/>
    <mergeCell ref="I60:L63"/>
    <mergeCell ref="N60:Q63"/>
    <mergeCell ref="S60:V63"/>
    <mergeCell ref="X60:AA63"/>
    <mergeCell ref="AC60:AF63"/>
    <mergeCell ref="I65:L68"/>
    <mergeCell ref="N65:Q68"/>
    <mergeCell ref="S65:V68"/>
    <mergeCell ref="G77:S78"/>
    <mergeCell ref="J83:AD84"/>
    <mergeCell ref="AF83:AH84"/>
    <mergeCell ref="J86:AD87"/>
    <mergeCell ref="AF86:AH87"/>
    <mergeCell ref="J123:AD124"/>
    <mergeCell ref="AF123:AH124"/>
    <mergeCell ref="J126:AD127"/>
    <mergeCell ref="AF126:AH127"/>
    <mergeCell ref="G107:S108"/>
    <mergeCell ref="J111:X112"/>
    <mergeCell ref="AF111:AH112"/>
    <mergeCell ref="J117:AD118"/>
    <mergeCell ref="AF117:AH118"/>
    <mergeCell ref="J120:AD121"/>
    <mergeCell ref="AF120:AH121"/>
    <mergeCell ref="J92:AD93"/>
    <mergeCell ref="AF92:AH93"/>
    <mergeCell ref="AJ92:AM93"/>
    <mergeCell ref="AO92:AR93"/>
    <mergeCell ref="AT92:AW93"/>
    <mergeCell ref="AY92:BB93"/>
    <mergeCell ref="BG92:CE93"/>
    <mergeCell ref="J95:AD96"/>
    <mergeCell ref="AF95:AH96"/>
    <mergeCell ref="AJ95:AM96"/>
    <mergeCell ref="AO95:AR96"/>
    <mergeCell ref="AT95:AW96"/>
    <mergeCell ref="AY95:BB96"/>
    <mergeCell ref="BG95:CE96"/>
    <mergeCell ref="AK123:AN124"/>
    <mergeCell ref="AK126:AN127"/>
    <mergeCell ref="BM127:BO128"/>
    <mergeCell ref="BY127:CA128"/>
    <mergeCell ref="AP126:BC127"/>
    <mergeCell ref="AS129:BC130"/>
    <mergeCell ref="AT131:BC141"/>
    <mergeCell ref="AF114:AH115"/>
    <mergeCell ref="AK114:AN115"/>
    <mergeCell ref="AK117:AN118"/>
    <mergeCell ref="AP117:BC118"/>
    <mergeCell ref="AK120:AN121"/>
    <mergeCell ref="AP120:BC121"/>
    <mergeCell ref="AP123:BC124"/>
    <mergeCell ref="S55:V58"/>
    <mergeCell ref="X55:AA58"/>
    <mergeCell ref="I50:L53"/>
    <mergeCell ref="N50:Q53"/>
    <mergeCell ref="S50:V53"/>
    <mergeCell ref="X50:AA53"/>
    <mergeCell ref="AC50:AF53"/>
    <mergeCell ref="N55:Q58"/>
    <mergeCell ref="AC55:AF58"/>
    <mergeCell ref="AJ81:AM82"/>
    <mergeCell ref="AJ83:AM84"/>
    <mergeCell ref="AO83:AR84"/>
    <mergeCell ref="AT83:AW84"/>
    <mergeCell ref="AY83:BB84"/>
    <mergeCell ref="BG83:CE84"/>
    <mergeCell ref="X65:AA68"/>
    <mergeCell ref="AC65:AF68"/>
    <mergeCell ref="BG77:BS78"/>
    <mergeCell ref="AF81:AH82"/>
    <mergeCell ref="AO81:AR82"/>
    <mergeCell ref="AT81:AW82"/>
    <mergeCell ref="AY81:BB82"/>
    <mergeCell ref="AJ86:AM87"/>
    <mergeCell ref="AO86:AR87"/>
    <mergeCell ref="AT86:AW87"/>
    <mergeCell ref="AY86:BB87"/>
    <mergeCell ref="BG86:CE87"/>
    <mergeCell ref="J89:AD90"/>
    <mergeCell ref="AF89:AH90"/>
    <mergeCell ref="AJ89:AM90"/>
    <mergeCell ref="AO89:AR90"/>
    <mergeCell ref="AT89:AW90"/>
    <mergeCell ref="AY89:BB90"/>
    <mergeCell ref="BG89:CE90"/>
    <mergeCell ref="BS98:BU99"/>
    <mergeCell ref="BS108:BU109"/>
    <mergeCell ref="AK111:AN112"/>
    <mergeCell ref="AP111:BC112"/>
    <mergeCell ref="BK113:BM114"/>
    <mergeCell ref="CA113:CC114"/>
    <mergeCell ref="J114:AD115"/>
    <mergeCell ref="AP114:BC115"/>
  </mergeCells>
  <pageMargins left="0.31496062992125984" right="0.31496062992125984" top="0.35433070866141736" bottom="0.35433070866141736" header="0" footer="0"/>
  <ignoredErrors>
    <ignoredError numberStoredAsText="1" sqref="G1:FG2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000"/>
  <sheetViews>
    <sheetView workbookViewId="0" rightToLeft="0"/>
  </sheetViews>
  <sheetData>
    <row r="1">
      <c r="B1" t="str">
        <v>Noter la race</v>
      </c>
      <c r="J1" t="str">
        <v>Choisir compétences et le score souhaité</v>
      </c>
      <c r="O1" t="str">
        <v>Choisir une ou plusieurs armes</v>
      </c>
    </row>
    <row r="2">
      <c r="B2" t="str">
        <v>race:</v>
      </c>
      <c r="C2" t="str">
        <v>gith</v>
      </c>
      <c r="E2" t="str">
        <v>total pts</v>
      </c>
      <c r="F2">
        <f>IF(C2="eldar",10,IF(C2="rohirim",15,IF(C2="gith",15,IF(C2="rakshasa",15,IF(C2="gnome",20,IF(C2="hobbit",15,IF(C2="orc",20,"")))))))</f>
        <v>15</v>
      </c>
      <c r="G2" t="str">
        <v>base</v>
      </c>
      <c r="J2" t="str">
        <v>compétences</v>
      </c>
      <c r="K2" t="str">
        <v>score</v>
      </c>
      <c r="L2" t="str">
        <v>coût</v>
      </c>
      <c r="O2" t="str">
        <v>Armes</v>
      </c>
      <c r="P2" t="str">
        <v>type</v>
      </c>
      <c r="Q2" t="str">
        <v>dégats</v>
      </c>
      <c r="R2" t="str">
        <v>RA</v>
      </c>
    </row>
    <row r="3">
      <c r="J3" t="str">
        <v>Commandement (COM)</v>
      </c>
      <c r="K3">
        <v>6</v>
      </c>
      <c r="L3">
        <f>IF(ISBLANK(K3),"",VLOOKUP(K3,listes!A14:listes!B29,2,FALSE))</f>
        <v>35</v>
      </c>
      <c r="O3" t="str">
        <v>Wild Predator</v>
      </c>
      <c r="P3" t="str">
        <f>IF(O3="","",VLOOKUP(O3,listes!$Q$14:$R$57,2,FALSE))</f>
        <v>Fire</v>
      </c>
      <c r="Q3">
        <v>7</v>
      </c>
      <c r="R3">
        <f>IF(ISBLANK(O3),"",VLOOKUP(O3,listes!N14:listes!O57,2,FALSE))</f>
        <v>2</v>
      </c>
    </row>
    <row r="4">
      <c r="D4" t="str">
        <v>racial</v>
      </c>
      <c r="F4" t="str">
        <v>tech</v>
      </c>
      <c r="H4" t="str">
        <v>total</v>
      </c>
      <c r="J4" t="str">
        <v>Persuasion (COM)</v>
      </c>
      <c r="K4">
        <v>6</v>
      </c>
      <c r="L4">
        <f>IF(ISBLANK(K4),"",VLOOKUP(K4,listes!A14:listes!B29,2,FALSE))</f>
        <v>35</v>
      </c>
      <c r="O4" t="str">
        <v>couteaux</v>
      </c>
      <c r="P4" t="str">
        <f>IF(O4="","",VLOOKUP(O4,listes!$Q$14:$R$57,2,FALSE))</f>
        <v>Mêl</v>
      </c>
      <c r="Q4">
        <f>IF(ISBLANK(O4),"",VLOOKUP(O4,listes!I14:listes!J57,2,FALSE))</f>
        <v>3</v>
      </c>
      <c r="R4">
        <f>IF(ISBLANK(O4),"",VLOOKUP(O4,listes!N14:listes!O57,2,FALSE))</f>
        <v>1</v>
      </c>
    </row>
    <row r="5">
      <c r="J5" t="str">
        <v>Corp système (INT)</v>
      </c>
      <c r="K5">
        <v>5</v>
      </c>
      <c r="L5">
        <f>IF(ISBLANK(K5),"",VLOOKUP(K5,listes!A14:listes!B29,2,FALSE))</f>
        <v>25</v>
      </c>
      <c r="O5" t="str">
        <v>INDRA</v>
      </c>
      <c r="P5" t="str">
        <f>IF(O5="","",VLOOKUP(O5,listes!$Q$14:$R$57,2,FALSE))</f>
        <v>Fire</v>
      </c>
      <c r="Q5">
        <f>IF(ISBLANK(O5),"",VLOOKUP(O5,listes!I14:listes!J57,2,FALSE))</f>
        <v>7</v>
      </c>
      <c r="R5">
        <f>IF(ISBLANK(O5),"",VLOOKUP(O5,listes!N14:listes!O57,2,FALSE))</f>
        <v>3</v>
      </c>
    </row>
    <row r="6">
      <c r="A6" t="str">
        <v>FO</v>
      </c>
      <c r="B6">
        <v>0</v>
      </c>
      <c r="D6">
        <f>IF(C2="orc",1,IF(C2="gnome",-1,IF(OR(C2="hobbit",C2="rakshasa",C2="gith",C2="eldar",C2="rohirim",C2="humain"),0,"")))</f>
        <v>0</v>
      </c>
      <c r="H6">
        <f>B6+D6+F6</f>
        <v>0</v>
      </c>
      <c r="J6" t="str">
        <v>Mêlée (DEX)</v>
      </c>
      <c r="K6">
        <v>5</v>
      </c>
      <c r="L6">
        <f>IF(ISBLANK(K6),"",VLOOKUP(K6,listes!A14:listes!B26,2,FALSE))</f>
        <v>25</v>
      </c>
      <c r="O6" t="str">
        <v>Grenade à fragmentation</v>
      </c>
      <c r="P6" t="str">
        <f>IF(O6="","",VLOOKUP(O6,listes!$Q$14:$R$57,2,FALSE))</f>
        <v>Jet</v>
      </c>
      <c r="Q6">
        <f>IF(ISBLANK(O6),"",VLOOKUP(O6,listes!I14:listes!J57,2,FALSE))</f>
        <v>6</v>
      </c>
      <c r="R6">
        <f>IF(ISBLANK(O6),"",VLOOKUP(O6,listes!N14:listes!O57,2,FALSE))</f>
        <v>2</v>
      </c>
    </row>
    <row r="7">
      <c r="J7" t="str">
        <v>Arme de poing (PER)</v>
      </c>
      <c r="K7">
        <v>5</v>
      </c>
      <c r="L7">
        <f>IF(ISBLANK(K7),"",VLOOKUP(K7,listes!A14:listes!B26,2,FALSE))</f>
        <v>25</v>
      </c>
      <c r="O7" t="str">
        <v>Widowmaker</v>
      </c>
      <c r="P7" t="str">
        <f>IF(O7="","",VLOOKUP(O7,listes!$Q$14:$R$57,2,FALSE))</f>
        <v>Fire</v>
      </c>
      <c r="Q7">
        <f>IF(ISBLANK(O7),"",VLOOKUP(O7,listes!I14:listes!J57,2,FALSE))</f>
        <v>11</v>
      </c>
      <c r="R7">
        <f>IF(ISBLANK(O7),"",VLOOKUP(O7,listes!N18:listes!O61,2,FALSE))</f>
        <v>5</v>
      </c>
    </row>
    <row r="8">
      <c r="A8" t="str">
        <v>VIT</v>
      </c>
      <c r="B8">
        <v>-1</v>
      </c>
      <c r="D8">
        <f>IF(OR(C2="orc",C2="rohirim"),1,IF(OR(C2="hobbit",C2="eldar"),-1,IF(OR(C2="humain",C2="rakshasa",C2="gith",C2="gnome"),0,"")))</f>
        <v>0</v>
      </c>
      <c r="F8">
        <v>2</v>
      </c>
      <c r="H8">
        <f>B8+D8+F8</f>
        <v>1</v>
      </c>
      <c r="J8" t="str">
        <v>Sciences dures (DEX)</v>
      </c>
      <c r="K8">
        <v>3</v>
      </c>
      <c r="L8">
        <f>IF(ISBLANK(K8),"",VLOOKUP(K8,listes!A14:listes!B29,2,FALSE))</f>
        <v>15</v>
      </c>
    </row>
    <row r="9">
      <c r="J9" t="str">
        <v>Etiquette (COM)</v>
      </c>
      <c r="K9">
        <v>4</v>
      </c>
      <c r="L9">
        <f>IF(ISBLANK(K9),"",VLOOKUP(K9,listes!A14:listes!B26,2,FALSE))</f>
        <v>20</v>
      </c>
    </row>
    <row r="10">
      <c r="A10" t="str">
        <v>DEX</v>
      </c>
      <c r="B10">
        <v>1</v>
      </c>
      <c r="D10">
        <f>IF(OR(C2="eldar",C2="rohirim",C2="hobbit",C2="gnome"),1,IF(OR(C2="humain",C2="rakshasa",C2="gith",C2="orc"),0,""))</f>
        <v>0</v>
      </c>
      <c r="H10">
        <f>B10+D10+F10</f>
        <v>1</v>
      </c>
      <c r="J10" t="str">
        <v>Déguisement (DEX)</v>
      </c>
      <c r="K10">
        <v>5</v>
      </c>
      <c r="L10">
        <f>IF(ISBLANK(K10),"",VLOOKUP(K10,listes!A14:listes!B29,2,FALSE))</f>
        <v>25</v>
      </c>
    </row>
    <row r="11">
      <c r="J11" t="str">
        <v>Conn. des rues (PER)</v>
      </c>
      <c r="K11">
        <v>5</v>
      </c>
      <c r="L11">
        <f>IF(ISBLANK(K11),"",VLOOKUP(K11,listes!A14:listes!B29,2,FALSE))</f>
        <v>25</v>
      </c>
      <c r="O11" t="str">
        <v>Choisir une ou plusieurs armures</v>
      </c>
    </row>
    <row r="12">
      <c r="A12" t="str">
        <v>REF</v>
      </c>
      <c r="B12">
        <v>0</v>
      </c>
      <c r="D12">
        <f>IF(OR(C2="rakshasa",C2="hobbit"),1,IF(C2="rohirim",-1,IF(OR(C2="humain",C2="eldar",C2="gith",C2="orc",C2="gnome"),0,"")))</f>
        <v>0</v>
      </c>
      <c r="H12">
        <f>B12+D12+F12</f>
        <v>0</v>
      </c>
      <c r="J12" t="str">
        <v>Affinité (VOL) Téléportation</v>
      </c>
      <c r="K12">
        <v>5</v>
      </c>
      <c r="L12">
        <f>IF(ISBLANK(K12),"",VLOOKUP(K12,listes!A14:listes!B29,2,FALSE))</f>
        <v>25</v>
      </c>
      <c r="O12" t="str">
        <v>Armures</v>
      </c>
      <c r="P12" t="str">
        <v>VP Tête</v>
      </c>
      <c r="Q12" t="str">
        <v>VP bras</v>
      </c>
      <c r="R12" t="str">
        <v>VP torse</v>
      </c>
      <c r="S12" t="str">
        <v>VP jambes</v>
      </c>
    </row>
    <row r="13">
      <c r="J13" t="str">
        <v>Sens (PER)</v>
      </c>
      <c r="K13">
        <v>3</v>
      </c>
      <c r="L13">
        <f>IF(ISBLANK(K13),"",VLOOKUP(K13,listes!A14:listes!B29,2,FALSE))</f>
        <v>15</v>
      </c>
      <c r="O13" t="str">
        <v>Kevlar (torse)</v>
      </c>
      <c r="P13">
        <f>IF(ISBLANK(O13),"",VLOOKUP(O13,listes!T15:listes!U24,2,FALSE))</f>
        <v>0</v>
      </c>
      <c r="Q13">
        <f>IF(ISBLANK(O13),"",VLOOKUP(O13,listes!W15:listes!X24,2,FALSE))</f>
        <v>0</v>
      </c>
      <c r="R13">
        <f>IF(ISBLANK(O13),"",VLOOKUP(O13,listes!Z15:listes!AA24,2,FALSE))</f>
        <v>6</v>
      </c>
      <c r="S13">
        <f>IF(ISBLANK(O13),"",VLOOKUP(O13,listes!AC15:listes!AD24,2,FALSE))</f>
        <v>0</v>
      </c>
    </row>
    <row r="14">
      <c r="A14" t="str">
        <v>PER</v>
      </c>
      <c r="B14">
        <v>2</v>
      </c>
      <c r="D14">
        <f>IF(OR(C2="eldar",C2="hobbit"),1,IF(C2="orc",-1,IF(OR(C2="humain",C2="rakshasa",C2="gith",C2="gnome",C2="rohirim"),0,"")))</f>
        <v>0</v>
      </c>
      <c r="H14">
        <f>B14+D14+F14</f>
        <v>2</v>
      </c>
      <c r="J14" t="str">
        <v>Athlétisme (VIT)</v>
      </c>
      <c r="K14">
        <v>4</v>
      </c>
      <c r="L14">
        <f>IF(ISBLANK(K14),"",VLOOKUP(K14,listes!A14:listes!B29,2,FALSE))</f>
        <v>20</v>
      </c>
      <c r="O14" t="str">
        <v>Peau tissée (tout) cyber ou bio</v>
      </c>
      <c r="P14">
        <f>IF(ISBLANK(O14),"",VLOOKUP(O14,listes!T14:listes!U24,2,FALSE))</f>
        <v>5</v>
      </c>
      <c r="Q14">
        <f>IF(ISBLANK(O14),"",VLOOKUP(O14,listes!W14:listes!X24,2,FALSE))</f>
        <v>5</v>
      </c>
      <c r="R14">
        <f>IF(ISBLANK(O14),"",VLOOKUP(O14,listes!Z14:listes!AA24,2,FALSE))</f>
        <v>5</v>
      </c>
      <c r="S14">
        <f>IF(ISBLANK(O14),"",VLOOKUP(O14,listes!AC15:listes!AD24,2,FALSE))</f>
        <v>5</v>
      </c>
    </row>
    <row r="15">
      <c r="K15" t="str">
        <v>total</v>
      </c>
      <c r="L15">
        <f>SUM(L3:L14)</f>
        <v>290</v>
      </c>
      <c r="O15" t="str">
        <v>Kevlar Suit</v>
      </c>
      <c r="P15">
        <f>IF(ISBLANK(O15),"",VLOOKUP(O15,listes!T15:listes!U25,2,FALSE))</f>
        <v>0</v>
      </c>
      <c r="Q15">
        <f>IF(ISBLANK(O15),"",VLOOKUP(O15,listes!W15:listes!X25,2,FALSE))</f>
        <v>6</v>
      </c>
      <c r="R15">
        <f>IF(ISBLANK(O15),"",VLOOKUP(O15,listes!Z15:listes!AA25,2,FALSE))</f>
        <v>6</v>
      </c>
      <c r="S15">
        <f>IF(ISBLANK(O15),"",VLOOKUP(O15,listes!AC15:listes!AD25,2,FALSE))</f>
        <v>6</v>
      </c>
    </row>
    <row r="16">
      <c r="A16" t="str">
        <v>COM</v>
      </c>
      <c r="B16">
        <v>2</v>
      </c>
      <c r="D16">
        <f>IF(OR(C2="rakshasa",C2="hobbit"),1,IF(OR(C2="humain",C2="eldar",C2="gith",C2="gnome",C2="rohirim",C2="orc"),0,""))</f>
        <v>0</v>
      </c>
      <c r="H16">
        <f>B16+D16+F16</f>
        <v>2</v>
      </c>
      <c r="P16" t="str">
        <f>IF(ISBLANK(O16),"",VLOOKUP(O16,listes!T15:listes!U24,2,FALSE))</f>
        <v/>
      </c>
      <c r="Q16" t="str">
        <f>IF(ISBLANK(O16),"",VLOOKUP(O16,listes!W15:listes!X24,2,FALSE))</f>
        <v/>
      </c>
      <c r="R16" t="str">
        <f>IF(ISBLANK(O16),"",VLOOKUP(O16,listes!Z15:listes!AA24,2,FALSE))</f>
        <v/>
      </c>
      <c r="S16" t="str">
        <f>IF(ISBLANK(O16),"",VLOOKUP(O16,listes!AC15:listes!AD24,2,FALSE))</f>
        <v/>
      </c>
    </row>
    <row r="17">
      <c r="P17" t="str">
        <f>IF(ISBLANK(O17),"",VLOOKUP(O17,listes!T15:listes!U24,2,FALSE))</f>
        <v/>
      </c>
      <c r="Q17" t="str">
        <f>IF(ISBLANK(O17),"",VLOOKUP(O17,listes!W15:listes!X24,2,FALSE))</f>
        <v/>
      </c>
      <c r="R17" t="str">
        <f>IF(ISBLANK(O17),"",VLOOKUP(O17,listes!Z15:listes!AA24,2,FALSE))</f>
        <v/>
      </c>
      <c r="S17" t="str">
        <f>IF(ISBLANK(O17),"",VLOOKUP(O17,listes!AC15:listes!AD24,2,FALSE))</f>
        <v/>
      </c>
    </row>
    <row r="18">
      <c r="A18" t="str">
        <v>INT</v>
      </c>
      <c r="B18">
        <v>2</v>
      </c>
      <c r="D18">
        <f>IF(OR(C2="eldar",C2="rohirim",C2="gith"),1,IF(OR(C2="humain",C2="rakshasa",C2="gnome",C2="hobbit",C2="orc"),0,""))</f>
        <v>1</v>
      </c>
      <c r="H18">
        <f>B18+D18+F18</f>
        <v>3</v>
      </c>
      <c r="J18" t="str">
        <v>Pouvoirs psys</v>
      </c>
      <c r="K18" t="str">
        <v>score</v>
      </c>
      <c r="L18" t="str">
        <v>coût</v>
      </c>
      <c r="M18" t="str">
        <v>Type</v>
      </c>
      <c r="O18" t="str">
        <v>Total</v>
      </c>
      <c r="P18">
        <f>SUM(P13:P17)</f>
        <v>5</v>
      </c>
      <c r="Q18">
        <f>SUM(Q13:Q17)</f>
        <v>11</v>
      </c>
      <c r="R18">
        <f>SUM(R13:R17)</f>
        <v>17</v>
      </c>
      <c r="S18">
        <f>SUM(S13:S17)</f>
        <v>11</v>
      </c>
    </row>
    <row r="19">
      <c r="J19" t="str">
        <v>Téléportation</v>
      </c>
      <c r="K19">
        <v>6</v>
      </c>
      <c r="L19">
        <f>IF(ISBLANK(K19),"",VLOOKUP(K19,listes!A14:listes!B29,2,FALSE))</f>
        <v>35</v>
      </c>
      <c r="M19" t="str">
        <f>IF(ISBLANK(J19),"",VLOOKUP(J19,listes!F14:listes!G30,2,FALSE))</f>
        <v>Psychokinésie</v>
      </c>
    </row>
    <row r="20">
      <c r="A20" t="str">
        <v>VOL</v>
      </c>
      <c r="B20">
        <v>2</v>
      </c>
      <c r="D20">
        <f>IF(OR(C2="eldar",C2="rohirim",C2="gith"),1,IF(OR(C2="humain",C2="rakshasa",C2="gnome",C2="hobbit",C2="orc"),0,""))</f>
        <v>1</v>
      </c>
      <c r="F20">
        <v>2</v>
      </c>
      <c r="H20">
        <f>B20+D20+F20</f>
        <v>5</v>
      </c>
      <c r="L20" t="str">
        <f>IF(ISBLANK(K20),"",VLOOKUP(K20,listes!A14:listes!B29,2,FALSE))</f>
        <v/>
      </c>
      <c r="M20" t="str">
        <f>IF(ISBLANK(J20),"",VLOOKUP(J20,listes!F15:listes!G31,2,FALSE))</f>
        <v/>
      </c>
    </row>
    <row r="21">
      <c r="L21" t="str">
        <f>IF(ISBLANK(K21),"",VLOOKUP(K21,listes!A14:listes!B29,2,FALSE))</f>
        <v/>
      </c>
      <c r="M21" t="str">
        <f>IF(ISBLANK(J21),"",VLOOKUP(J21,listes!F16:listes!G32,2,FALSE))</f>
        <v/>
      </c>
    </row>
    <row r="22">
      <c r="A22" t="str">
        <v>Total char</v>
      </c>
      <c r="B22">
        <f>B6+B8+B10+B12+B14+B16+B18+B20</f>
        <v>8</v>
      </c>
      <c r="L22" t="str">
        <f>IF(ISBLANK(K22),"",VLOOKUP(K22,listes!A14:listes!B29,2,FALSE))</f>
        <v/>
      </c>
      <c r="M22" t="str">
        <f>IF(ISBLANK(J22),"",VLOOKUP(J22,listes!F17:listes!G33,2,FALSE))</f>
        <v/>
      </c>
    </row>
    <row r="23">
      <c r="G23" t="str">
        <v>Pts départ</v>
      </c>
      <c r="H23">
        <v>120</v>
      </c>
      <c r="L23" t="str">
        <f>IF(ISBLANK(K23),"",VLOOKUP(K23,listes!A14:listes!B29,2,FALSE))</f>
        <v/>
      </c>
      <c r="M23" t="str">
        <f>IF(ISBLANK(J23),"",VLOOKUP(J23,listes!F18:listes!G34,2,FALSE))</f>
        <v/>
      </c>
    </row>
    <row r="24">
      <c r="A24" t="str">
        <v>taille</v>
      </c>
      <c r="B24">
        <f>IF(C2="orc",1,IF(OR(C2="hobbit",C2="gnome",C2="rohirim"),-1,IF(OR(C2="humain",C2="rakshasa",C2="eldar",C2="gith"),0,"")))</f>
        <v>0</v>
      </c>
      <c r="D24" t="str">
        <v>HP</v>
      </c>
      <c r="E24">
        <f>(H8+B24)*5+30</f>
        <v>35</v>
      </c>
      <c r="G24" t="str">
        <v>XP</v>
      </c>
      <c r="H24">
        <v>132</v>
      </c>
      <c r="L24">
        <f>SUM(L19:L23)</f>
        <v>35</v>
      </c>
    </row>
    <row r="25">
      <c r="D25" t="str">
        <v>PSP</v>
      </c>
      <c r="E25">
        <f>(H20*5)+30</f>
        <v>55</v>
      </c>
      <c r="G25" t="str">
        <v>Pts total dispo</v>
      </c>
      <c r="H25">
        <f>H24+F2+H23</f>
        <v>267</v>
      </c>
    </row>
    <row r="26">
      <c r="G26" t="str">
        <v>Solde</v>
      </c>
      <c r="H26">
        <f>H25-L15-L24+K40</f>
        <v>2</v>
      </c>
      <c r="J26" t="str">
        <v>Choisir avantages et incovénients</v>
      </c>
    </row>
    <row r="27">
      <c r="J27" t="str">
        <v>Description</v>
      </c>
      <c r="K27" t="str">
        <v>score</v>
      </c>
    </row>
    <row r="28">
      <c r="J28" t="str">
        <v>Réputation : +20</v>
      </c>
      <c r="K28">
        <f>IF(ISBLANK(J28),"",VLOOKUP(J28,listes!F33:listes!G111,2,FALSE))</f>
        <v>20</v>
      </c>
    </row>
    <row r="29">
      <c r="J29" t="str">
        <v>Affinité : + 20</v>
      </c>
      <c r="K29">
        <f>IF(ISBLANK(J29),"",VLOOKUP(J29,listes!F33:listes!G111,2,FALSE))</f>
        <v>20</v>
      </c>
    </row>
    <row r="30">
      <c r="A30" t="str">
        <v>Pour créer le perso, il suffit de remplir tous les champs verts et s'assurer que le solde n'est pas négatif et que le total char ne l'est pas non plus</v>
      </c>
      <c r="J30" t="str">
        <v>Touche-à-tout: +10</v>
      </c>
      <c r="K30">
        <f>IF(ISBLANK(J30),"",VLOOKUP(J30,listes!F33:listes!G111,2,FALSE))</f>
        <v>10</v>
      </c>
    </row>
    <row r="31">
      <c r="J31" t="str">
        <v>Réserve de PSP : +20</v>
      </c>
      <c r="K31">
        <f>IF(ISBLANK(J31),"",VLOOKUP(J31,listes!F33:listes!G111,2,FALSE))</f>
        <v>20</v>
      </c>
    </row>
    <row r="32">
      <c r="J32" t="str">
        <v>Volonté de fer : +10</v>
      </c>
      <c r="K32">
        <f>IF(ISBLANK(J32),"",VLOOKUP(J32,listes!F33:listes!G111,2,FALSE))</f>
        <v>10</v>
      </c>
    </row>
    <row r="33">
      <c r="J33" t="str">
        <v>Ennemis : -20</v>
      </c>
      <c r="K33">
        <f>IF(ISBLANK(J33),"",VLOOKUP(J33,listes!F33:listes!G111,2,FALSE))</f>
        <v>-20</v>
      </c>
    </row>
    <row r="34">
      <c r="J34" t="str">
        <v>Illusion: -10</v>
      </c>
      <c r="K34">
        <f>IF(ISBLANK(J34),"",VLOOKUP(J34,listes!F33:listes!G111,2,FALSE))</f>
        <v>-10</v>
      </c>
    </row>
    <row r="35">
      <c r="J35" t="str">
        <v>Secret: -10</v>
      </c>
      <c r="K35">
        <f>IF(ISBLANK(J35),"",VLOOKUP(J35,listes!F33:listes!G111,2,FALSE))</f>
        <v>-10</v>
      </c>
    </row>
    <row r="36">
      <c r="J36" t="str">
        <v>Dans les nuages: -30</v>
      </c>
      <c r="K36">
        <f>IF(ISBLANK(J36),"",VLOOKUP(J28,listes!F35:listes!G120,2,FALSE))</f>
        <v>20</v>
      </c>
    </row>
    <row r="37">
      <c r="K37" t="str">
        <f>IF(ISBLANK(J37),"",VLOOKUP(J37,listes!F33:listes!G111,2,FALSE))</f>
        <v/>
      </c>
    </row>
    <row r="38">
      <c r="K38" t="str">
        <f>IF(ISBLANK(J38),"",VLOOKUP(J38,listes!F33:listes!G111,2,FALSE))</f>
        <v/>
      </c>
    </row>
    <row r="39">
      <c r="K39" t="str">
        <f>IF(ISBLANK(J39),"",VLOOKUP(J39,listes!F33:listes!G111,2,FALSE))</f>
        <v/>
      </c>
    </row>
    <row r="40">
      <c r="K40">
        <f>SUM(K28:K39)</f>
        <v>60</v>
      </c>
    </row>
  </sheetData>
  <mergeCells count="5">
    <mergeCell ref="B1:C1"/>
    <mergeCell ref="J1:L1"/>
    <mergeCell ref="O1:R1"/>
    <mergeCell ref="J26:K26"/>
    <mergeCell ref="A30:G34"/>
  </mergeCells>
  <pageMargins left="0.7" right="0.7" top="0.75" bottom="0.75" header="0" footer="0"/>
  <ignoredErrors>
    <ignoredError numberStoredAsText="1" sqref="A1:S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3:AD1000"/>
  <sheetViews>
    <sheetView workbookViewId="0" rightToLeft="0"/>
  </sheetViews>
  <sheetData>
    <row r="3">
      <c r="A3" t="str">
        <v>Races</v>
      </c>
      <c r="C3" t="str">
        <v>stats</v>
      </c>
    </row>
    <row r="4">
      <c r="A4" t="str">
        <v>eldar</v>
      </c>
      <c r="C4">
        <v>-3</v>
      </c>
    </row>
    <row r="5">
      <c r="A5" t="str">
        <v>rohirim</v>
      </c>
      <c r="C5">
        <v>-2</v>
      </c>
    </row>
    <row r="6">
      <c r="A6" t="str">
        <v>rakshasa</v>
      </c>
      <c r="C6">
        <v>-1</v>
      </c>
    </row>
    <row r="7">
      <c r="A7" t="str">
        <v>gnome</v>
      </c>
      <c r="C7">
        <v>0</v>
      </c>
    </row>
    <row r="8">
      <c r="A8" t="str">
        <v>humain</v>
      </c>
      <c r="C8">
        <v>1</v>
      </c>
    </row>
    <row r="9">
      <c r="A9" t="str">
        <v>orc</v>
      </c>
      <c r="C9">
        <v>2</v>
      </c>
    </row>
    <row r="10">
      <c r="A10" t="str">
        <v>gith</v>
      </c>
      <c r="C10">
        <v>3</v>
      </c>
    </row>
    <row r="11">
      <c r="A11" t="str">
        <v>hobbit</v>
      </c>
    </row>
    <row r="13">
      <c r="A13" t="str">
        <v>score</v>
      </c>
      <c r="B13" t="str">
        <v>coût</v>
      </c>
      <c r="D13" t="str">
        <v>Compétences liste</v>
      </c>
      <c r="F13" t="str">
        <v>Pouvoir Psys liste</v>
      </c>
      <c r="G13" t="str">
        <v>Type</v>
      </c>
      <c r="I13" t="str">
        <v>Armes</v>
      </c>
      <c r="J13" t="str">
        <v>dégats</v>
      </c>
      <c r="K13" t="str">
        <v>prix</v>
      </c>
      <c r="L13" t="str">
        <v>RA</v>
      </c>
      <c r="N13" t="str">
        <v>Armes</v>
      </c>
      <c r="O13" t="str">
        <v>RA</v>
      </c>
      <c r="Q13" t="str">
        <v>Armes</v>
      </c>
      <c r="R13" t="str">
        <v>RA</v>
      </c>
      <c r="T13" t="str">
        <v>armures</v>
      </c>
      <c r="U13" t="str">
        <v>VP tête</v>
      </c>
      <c r="W13" t="str">
        <v>armures</v>
      </c>
      <c r="X13" t="str">
        <v>VP bras</v>
      </c>
      <c r="Z13" t="str">
        <v>armures</v>
      </c>
      <c r="AA13" t="str">
        <v>VP torse</v>
      </c>
      <c r="AC13" t="str">
        <v>armures</v>
      </c>
      <c r="AD13" t="str">
        <v>VP jambes</v>
      </c>
    </row>
    <row r="14">
      <c r="B14">
        <v>0</v>
      </c>
      <c r="D14" t="str">
        <v>Arme de poing (PER)</v>
      </c>
      <c r="F14" t="str">
        <v>Acuité sensorielle</v>
      </c>
      <c r="G14" t="str">
        <v>Mental</v>
      </c>
      <c r="I14" t="str">
        <v>Mains nues</v>
      </c>
      <c r="J14">
        <v>-1</v>
      </c>
      <c r="K14">
        <v>0</v>
      </c>
      <c r="L14">
        <v>0</v>
      </c>
      <c r="M14" t="str">
        <v>Mêl</v>
      </c>
      <c r="N14" t="str">
        <v>Mains nues</v>
      </c>
      <c r="O14">
        <v>0</v>
      </c>
      <c r="Q14" t="str">
        <v>Mains nues</v>
      </c>
      <c r="R14" t="str">
        <v>Mêl</v>
      </c>
      <c r="T14" t="str">
        <v>Champ de stase</v>
      </c>
      <c r="U14">
        <v>5</v>
      </c>
      <c r="W14" t="str">
        <v>Champ de stase</v>
      </c>
      <c r="X14">
        <v>5</v>
      </c>
      <c r="Z14" t="str">
        <v>Champ de stase</v>
      </c>
      <c r="AA14">
        <v>5</v>
      </c>
      <c r="AC14" t="str">
        <v>Champ de stase</v>
      </c>
      <c r="AD14">
        <v>5</v>
      </c>
    </row>
    <row r="15">
      <c r="A15">
        <v>1</v>
      </c>
      <c r="B15">
        <v>5</v>
      </c>
      <c r="D15" t="str">
        <v>Fusils (PER)</v>
      </c>
      <c r="F15" t="str">
        <v>Charme</v>
      </c>
      <c r="G15" t="str">
        <v>Mental</v>
      </c>
      <c r="I15" t="str">
        <v>Poing américain</v>
      </c>
      <c r="J15">
        <v>1</v>
      </c>
      <c r="K15">
        <v>10</v>
      </c>
      <c r="L15">
        <v>0</v>
      </c>
      <c r="M15" t="str">
        <v>Jet</v>
      </c>
      <c r="N15" t="str">
        <v>Poing américain</v>
      </c>
      <c r="O15">
        <v>0</v>
      </c>
      <c r="Q15" t="str">
        <v>Poing américain</v>
      </c>
      <c r="R15" t="str">
        <v>Mêl</v>
      </c>
      <c r="T15" t="str">
        <v>Cuir souple (torse, bras)</v>
      </c>
      <c r="U15">
        <v>0</v>
      </c>
      <c r="W15" t="str">
        <v>Cuir souple (torse, bras)</v>
      </c>
      <c r="X15">
        <v>4</v>
      </c>
      <c r="Z15" t="str">
        <v>Cuir souple (torse, bras)</v>
      </c>
      <c r="AA15">
        <v>4</v>
      </c>
      <c r="AC15" t="str">
        <v>Cuir souple (torse, bras)</v>
      </c>
      <c r="AD15">
        <v>0</v>
      </c>
    </row>
    <row r="16">
      <c r="A16">
        <v>2</v>
      </c>
      <c r="B16">
        <v>10</v>
      </c>
      <c r="D16" t="str">
        <v>Mêlée (DEX)</v>
      </c>
      <c r="F16" t="str">
        <v>Hypnagogie</v>
      </c>
      <c r="G16" t="str">
        <v>Mental</v>
      </c>
      <c r="I16" t="str">
        <v>couteaux</v>
      </c>
      <c r="J16">
        <v>3</v>
      </c>
      <c r="K16" t="str">
        <v>10-100</v>
      </c>
      <c r="L16">
        <v>1</v>
      </c>
      <c r="M16" t="str">
        <v>Fire</v>
      </c>
      <c r="N16" t="str">
        <v>couteaux</v>
      </c>
      <c r="O16">
        <v>1</v>
      </c>
      <c r="Q16" t="str">
        <v>couteaux</v>
      </c>
      <c r="R16" t="str">
        <v>Mêl</v>
      </c>
      <c r="T16" t="str">
        <v>Jambières souples (jambes)</v>
      </c>
      <c r="U16">
        <v>0</v>
      </c>
      <c r="W16" t="str">
        <v>Jambières souples (jambes)</v>
      </c>
      <c r="X16">
        <v>0</v>
      </c>
      <c r="Z16" t="str">
        <v>Jambières souples (jambes)</v>
      </c>
      <c r="AA16">
        <v>0</v>
      </c>
      <c r="AC16" t="str">
        <v>Jambières souples (jambes)</v>
      </c>
      <c r="AD16">
        <v>4</v>
      </c>
    </row>
    <row r="17">
      <c r="A17">
        <v>3</v>
      </c>
      <c r="B17">
        <v>15</v>
      </c>
      <c r="D17" t="str">
        <v>Esquive (REF)</v>
      </c>
      <c r="F17" t="str">
        <v>Illusion</v>
      </c>
      <c r="G17" t="str">
        <v>Mental</v>
      </c>
      <c r="I17" t="str">
        <v>Épées, haches 1 main</v>
      </c>
      <c r="J17">
        <v>4</v>
      </c>
      <c r="K17">
        <v>400</v>
      </c>
      <c r="L17">
        <v>2</v>
      </c>
      <c r="N17" t="str">
        <v>Épées, haches 1 main</v>
      </c>
      <c r="O17">
        <v>2</v>
      </c>
      <c r="Q17" t="str">
        <v>Épées, haches 1 main</v>
      </c>
      <c r="R17" t="str">
        <v>Mêl</v>
      </c>
      <c r="T17" t="str">
        <v>Cuir épais (torse, bras)</v>
      </c>
      <c r="U17">
        <v>0</v>
      </c>
      <c r="W17" t="str">
        <v>Cuir épais (torse, bras)</v>
      </c>
      <c r="X17">
        <v>5</v>
      </c>
      <c r="Z17" t="str">
        <v>Cuir épais (torse, bras)</v>
      </c>
      <c r="AA17">
        <v>5</v>
      </c>
      <c r="AC17" t="str">
        <v>Cuir épais (torse, bras)</v>
      </c>
      <c r="AD17">
        <v>0</v>
      </c>
    </row>
    <row r="18">
      <c r="A18">
        <v>4</v>
      </c>
      <c r="B18">
        <v>20</v>
      </c>
      <c r="D18" t="str">
        <v>Commandement (COM)</v>
      </c>
      <c r="F18" t="str">
        <v>Télépathie</v>
      </c>
      <c r="G18" t="str">
        <v>Mental</v>
      </c>
      <c r="I18" t="str">
        <v>Epées haches 2 mains</v>
      </c>
      <c r="J18">
        <v>5</v>
      </c>
      <c r="K18">
        <v>500</v>
      </c>
      <c r="L18">
        <v>2</v>
      </c>
      <c r="N18" t="str">
        <v>Epées haches 2 mains</v>
      </c>
      <c r="O18">
        <v>2</v>
      </c>
      <c r="Q18" t="str">
        <v>Epées haches 2 mains</v>
      </c>
      <c r="R18" t="str">
        <v>Mêl</v>
      </c>
      <c r="T18" t="str">
        <v>Jambières en cuir épais (jambes)</v>
      </c>
      <c r="U18">
        <v>0</v>
      </c>
      <c r="W18" t="str">
        <v>Jambières en cuir épais (jambes)</v>
      </c>
      <c r="X18">
        <v>0</v>
      </c>
      <c r="Z18" t="str">
        <v>Jambières en cuir épais (jambes)</v>
      </c>
      <c r="AA18">
        <v>0</v>
      </c>
      <c r="AC18" t="str">
        <v>Jambières en cuir épais (jambes)</v>
      </c>
      <c r="AD18">
        <v>5</v>
      </c>
    </row>
    <row r="19">
      <c r="A19">
        <v>5</v>
      </c>
      <c r="B19">
        <v>25</v>
      </c>
      <c r="D19" t="str">
        <v>Etiquette (COM)</v>
      </c>
      <c r="F19" t="str">
        <v>Préscience</v>
      </c>
      <c r="G19" t="str">
        <v>Mental</v>
      </c>
      <c r="I19" t="str">
        <v>Armes d’hast</v>
      </c>
      <c r="J19">
        <v>5</v>
      </c>
      <c r="K19">
        <v>800</v>
      </c>
      <c r="L19">
        <v>3</v>
      </c>
      <c r="N19" t="str">
        <v>Armes d’hast</v>
      </c>
      <c r="O19">
        <v>3</v>
      </c>
      <c r="Q19" t="str">
        <v>Armes d’hast</v>
      </c>
      <c r="R19" t="str">
        <v>Mêl</v>
      </c>
      <c r="T19" t="str">
        <v>Peau tissée (tout) cyber ou bio</v>
      </c>
      <c r="U19">
        <v>5</v>
      </c>
      <c r="W19" t="str">
        <v>Peau tissée (tout) cyber ou bio</v>
      </c>
      <c r="X19">
        <v>5</v>
      </c>
      <c r="Z19" t="str">
        <v>Peau tissée (tout) cyber ou bio</v>
      </c>
      <c r="AA19">
        <v>5</v>
      </c>
      <c r="AC19" t="str">
        <v>Peau tissée (tout) cyber ou bio</v>
      </c>
      <c r="AD19">
        <v>5</v>
      </c>
    </row>
    <row r="20">
      <c r="A20">
        <v>6</v>
      </c>
      <c r="B20">
        <v>35</v>
      </c>
      <c r="D20" t="str">
        <v>interview (COM)</v>
      </c>
      <c r="F20" t="str">
        <v>Cryokinésie</v>
      </c>
      <c r="G20" t="str">
        <v>Psychokinésie</v>
      </c>
      <c r="I20" t="str">
        <v>Katana</v>
      </c>
      <c r="J20">
        <v>4</v>
      </c>
      <c r="K20">
        <v>3000</v>
      </c>
      <c r="L20">
        <v>2</v>
      </c>
      <c r="N20" t="str">
        <v>Katana</v>
      </c>
      <c r="O20">
        <v>2</v>
      </c>
      <c r="Q20" t="str">
        <v>Katana</v>
      </c>
      <c r="R20" t="str">
        <v>Mêl</v>
      </c>
      <c r="T20" t="str">
        <v>Kevlar (torse)</v>
      </c>
      <c r="U20">
        <v>0</v>
      </c>
      <c r="W20" t="str">
        <v>Kevlar (torse)</v>
      </c>
      <c r="X20">
        <v>0</v>
      </c>
      <c r="Z20" t="str">
        <v>Kevlar (torse)</v>
      </c>
      <c r="AA20">
        <v>6</v>
      </c>
      <c r="AC20" t="str">
        <v>Kevlar (torse)</v>
      </c>
      <c r="AD20">
        <v>0</v>
      </c>
    </row>
    <row r="21">
      <c r="A21">
        <v>7</v>
      </c>
      <c r="B21">
        <v>45</v>
      </c>
      <c r="D21" t="str">
        <v>Persuasion (COM)</v>
      </c>
      <c r="F21" t="str">
        <v>Electrokinésie</v>
      </c>
      <c r="G21" t="str">
        <v>Psychokinésie</v>
      </c>
      <c r="I21" t="str">
        <v>Rippers</v>
      </c>
      <c r="J21">
        <v>4</v>
      </c>
      <c r="K21">
        <v>2000</v>
      </c>
      <c r="L21">
        <v>2</v>
      </c>
      <c r="N21" t="str">
        <v>Rippers</v>
      </c>
      <c r="O21">
        <v>2</v>
      </c>
      <c r="Q21" t="str">
        <v>Rippers</v>
      </c>
      <c r="R21" t="str">
        <v>Mêl</v>
      </c>
      <c r="T21" t="str">
        <v>Casque (fibres de nylon)</v>
      </c>
      <c r="U21">
        <v>6</v>
      </c>
      <c r="W21" t="str">
        <v>Casque (fibres de nylon)</v>
      </c>
      <c r="X21">
        <v>0</v>
      </c>
      <c r="Z21" t="str">
        <v>Casque (fibres de nylon)</v>
      </c>
      <c r="AA21">
        <v>0</v>
      </c>
      <c r="AC21" t="str">
        <v>Casque (fibres de nylon)</v>
      </c>
      <c r="AD21">
        <v>0</v>
      </c>
    </row>
    <row r="22">
      <c r="A22">
        <v>8</v>
      </c>
      <c r="B22">
        <v>55</v>
      </c>
      <c r="D22" t="str">
        <v>Sciences théo (INT)</v>
      </c>
      <c r="F22" t="str">
        <v>Kinésie</v>
      </c>
      <c r="G22" t="str">
        <v>Psychokinésie</v>
      </c>
      <c r="I22" t="str">
        <v>Power Knife</v>
      </c>
      <c r="J22">
        <v>5</v>
      </c>
      <c r="K22">
        <v>5000</v>
      </c>
      <c r="L22">
        <v>2</v>
      </c>
      <c r="N22" t="str">
        <v>Power Knife</v>
      </c>
      <c r="O22">
        <v>2</v>
      </c>
      <c r="Q22" t="str">
        <v>Power Knife</v>
      </c>
      <c r="R22" t="str">
        <v>Mêl</v>
      </c>
      <c r="T22" t="str">
        <v>Veste blindée légère (10 KG)</v>
      </c>
      <c r="U22">
        <v>0</v>
      </c>
      <c r="W22" t="str">
        <v>Veste blindée légère (10 KG)</v>
      </c>
      <c r="X22">
        <v>7</v>
      </c>
      <c r="Z22" t="str">
        <v>Veste blindée légère (10 KG)</v>
      </c>
      <c r="AA22">
        <v>7</v>
      </c>
      <c r="AC22" t="str">
        <v>Veste blindée légère (10 KG)</v>
      </c>
      <c r="AD22">
        <v>0</v>
      </c>
    </row>
    <row r="23">
      <c r="A23">
        <v>9</v>
      </c>
      <c r="B23">
        <v>65</v>
      </c>
      <c r="D23" t="str">
        <v>Informatique (INT)</v>
      </c>
      <c r="F23" t="str">
        <v>Télékinésie</v>
      </c>
      <c r="G23" t="str">
        <v>Psychokinésie</v>
      </c>
      <c r="I23" t="str">
        <v>Tronçonneuse</v>
      </c>
      <c r="J23">
        <v>5</v>
      </c>
      <c r="K23">
        <v>500</v>
      </c>
      <c r="L23">
        <v>3</v>
      </c>
      <c r="N23" t="str">
        <v>Tronçonneuse</v>
      </c>
      <c r="O23">
        <v>3</v>
      </c>
      <c r="Q23" t="str">
        <v>Tronçonneuse</v>
      </c>
      <c r="R23" t="str">
        <v>Mêl</v>
      </c>
      <c r="T23" t="str">
        <v>Veste blindée (20KG)</v>
      </c>
      <c r="U23">
        <v>0</v>
      </c>
      <c r="W23" t="str">
        <v>Veste blindée (20KG)</v>
      </c>
      <c r="X23">
        <v>8</v>
      </c>
      <c r="Z23" t="str">
        <v>Veste blindée (20KG)</v>
      </c>
      <c r="AA23">
        <v>8</v>
      </c>
      <c r="AC23" t="str">
        <v>Veste blindée (20KG)</v>
      </c>
      <c r="AD23">
        <v>0</v>
      </c>
    </row>
    <row r="24">
      <c r="A24">
        <v>10</v>
      </c>
      <c r="B24">
        <v>75</v>
      </c>
      <c r="D24" t="str">
        <v>Sciences dures (DEX)</v>
      </c>
      <c r="F24" t="str">
        <v>Pyrokinésie</v>
      </c>
      <c r="G24" t="str">
        <v>Psychokinésie</v>
      </c>
      <c r="I24" t="str">
        <v>Sharpness</v>
      </c>
      <c r="J24">
        <v>6</v>
      </c>
      <c r="K24">
        <v>10000</v>
      </c>
      <c r="L24">
        <v>2</v>
      </c>
      <c r="N24" t="str">
        <v>Sharpness</v>
      </c>
      <c r="O24">
        <v>2</v>
      </c>
      <c r="Q24" t="str">
        <v>Sharpness</v>
      </c>
      <c r="R24" t="str">
        <v>Mêl</v>
      </c>
      <c r="T24" t="str">
        <v>Dragoon</v>
      </c>
      <c r="U24">
        <v>10</v>
      </c>
      <c r="W24" t="str">
        <v>Dragoon</v>
      </c>
      <c r="X24">
        <v>10</v>
      </c>
      <c r="Z24" t="str">
        <v>Dragoon</v>
      </c>
      <c r="AA24">
        <v>10</v>
      </c>
      <c r="AC24" t="str">
        <v>Dragoon</v>
      </c>
      <c r="AD24">
        <v>10</v>
      </c>
    </row>
    <row r="25">
      <c r="A25">
        <v>11</v>
      </c>
      <c r="B25">
        <v>95</v>
      </c>
      <c r="D25" t="str">
        <v>Médecine (INT) (DEX)</v>
      </c>
      <c r="F25" t="str">
        <v>Téléportation</v>
      </c>
      <c r="G25" t="str">
        <v>Psychokinésie</v>
      </c>
      <c r="I25" t="str">
        <v>Boneripp</v>
      </c>
      <c r="J25">
        <v>7</v>
      </c>
      <c r="N25" t="str">
        <v>Boneripp</v>
      </c>
      <c r="O25">
        <v>3</v>
      </c>
      <c r="Q25" t="str">
        <v>Boneripp</v>
      </c>
      <c r="R25" t="str">
        <v>Mêl</v>
      </c>
      <c r="T25" t="str">
        <v>Kevlar Suit</v>
      </c>
      <c r="U25">
        <v>0</v>
      </c>
      <c r="W25" t="str">
        <v>Kevlar Suit</v>
      </c>
      <c r="X25">
        <v>6</v>
      </c>
      <c r="Z25" t="str">
        <v>Kevlar Suit</v>
      </c>
      <c r="AA25">
        <v>6</v>
      </c>
      <c r="AC25" t="str">
        <v>Kevlar Suit</v>
      </c>
      <c r="AD25">
        <v>6</v>
      </c>
    </row>
    <row r="26">
      <c r="A26">
        <v>12</v>
      </c>
      <c r="B26">
        <v>115</v>
      </c>
      <c r="D26" t="str">
        <v>Gestion (INT)</v>
      </c>
      <c r="F26" t="str">
        <v>Concentration psy</v>
      </c>
      <c r="G26" t="str">
        <v>Maîtrise de soi</v>
      </c>
      <c r="I26" t="str">
        <v>Griffes rétractables</v>
      </c>
      <c r="J26">
        <v>7</v>
      </c>
      <c r="N26" t="str">
        <v>Griffes rétractables</v>
      </c>
      <c r="O26">
        <v>3</v>
      </c>
      <c r="Q26" t="str">
        <v>Griffes rétractables</v>
      </c>
      <c r="R26" t="str">
        <v>Mêl</v>
      </c>
    </row>
    <row r="27">
      <c r="A27">
        <v>13</v>
      </c>
      <c r="B27">
        <v>135</v>
      </c>
      <c r="D27" t="str">
        <v>Histoire, (INT)</v>
      </c>
      <c r="F27" t="str">
        <v>Soin</v>
      </c>
      <c r="G27" t="str">
        <v>Maîtrise de soi</v>
      </c>
      <c r="I27" t="str">
        <v>Rippers</v>
      </c>
      <c r="J27">
        <v>8</v>
      </c>
      <c r="N27" t="str">
        <v>Rippers</v>
      </c>
      <c r="O27">
        <v>3</v>
      </c>
      <c r="Q27" t="str">
        <v>Rippers</v>
      </c>
      <c r="R27" t="str">
        <v>Mêl</v>
      </c>
    </row>
    <row r="28">
      <c r="A28">
        <v>14</v>
      </c>
      <c r="B28">
        <v>155</v>
      </c>
      <c r="D28" t="str">
        <v>Athlétisme (VIT)</v>
      </c>
      <c r="F28" t="str">
        <v>Modification de la matière</v>
      </c>
      <c r="G28" t="str">
        <v>Maîtrise de soi</v>
      </c>
      <c r="I28" t="str">
        <v>Wolfers</v>
      </c>
      <c r="J28">
        <v>9</v>
      </c>
      <c r="N28" t="str">
        <v>Wolfers</v>
      </c>
      <c r="O28">
        <v>4</v>
      </c>
      <c r="Q28" t="str">
        <v>Wolfers</v>
      </c>
      <c r="R28" t="str">
        <v>Mêl</v>
      </c>
    </row>
    <row r="29">
      <c r="A29">
        <v>15</v>
      </c>
      <c r="B29">
        <v>175</v>
      </c>
      <c r="D29" t="str">
        <v>Résistance aux tortures et drogues (VIT)</v>
      </c>
      <c r="F29" t="str">
        <v xml:space="preserve">Maîtrise du corps </v>
      </c>
      <c r="G29" t="str">
        <v>Maîtrise de soi</v>
      </c>
      <c r="I29" t="str">
        <v>Cyclope</v>
      </c>
      <c r="J29">
        <v>5</v>
      </c>
      <c r="N29" t="str">
        <v>Cyclope</v>
      </c>
      <c r="O29">
        <v>2</v>
      </c>
      <c r="Q29" t="str">
        <v>Cyclope</v>
      </c>
      <c r="R29" t="str">
        <v>Mêl</v>
      </c>
    </row>
    <row r="30">
      <c r="D30" t="str">
        <v>Survie (zone) (VIT)</v>
      </c>
      <c r="F30" t="str">
        <v>Régénération</v>
      </c>
      <c r="G30" t="str">
        <v>Maîtrise de soi</v>
      </c>
      <c r="I30" t="str">
        <v>Queue de combat</v>
      </c>
      <c r="J30">
        <v>6</v>
      </c>
      <c r="N30" t="str">
        <v>Queue de combat</v>
      </c>
      <c r="O30">
        <v>3</v>
      </c>
      <c r="Q30" t="str">
        <v>Queue de combat</v>
      </c>
      <c r="R30" t="str">
        <v>Mêl</v>
      </c>
    </row>
    <row r="31">
      <c r="D31" t="str">
        <v>Discretion (DEX)</v>
      </c>
      <c r="I31" t="str">
        <v>Sourire du requin</v>
      </c>
      <c r="J31">
        <v>6</v>
      </c>
      <c r="N31" t="str">
        <v>Sourire du requin</v>
      </c>
      <c r="O31">
        <v>3</v>
      </c>
      <c r="Q31" t="str">
        <v>Sourire du requin</v>
      </c>
      <c r="R31" t="str">
        <v>Mêl</v>
      </c>
    </row>
    <row r="32">
      <c r="D32" t="str">
        <v>Contrefaçon (DEX)</v>
      </c>
      <c r="F32" t="str">
        <v>Avantages et inconvénients</v>
      </c>
      <c r="G32" t="str">
        <v>score</v>
      </c>
      <c r="I32" t="str">
        <v>Slice N Dice</v>
      </c>
      <c r="J32">
        <v>7</v>
      </c>
      <c r="N32" t="str">
        <v>Slice N Dice</v>
      </c>
      <c r="O32">
        <v>2</v>
      </c>
      <c r="Q32" t="str">
        <v>Slice N Dice</v>
      </c>
      <c r="R32" t="str">
        <v>Mêl</v>
      </c>
    </row>
    <row r="33">
      <c r="D33" t="str">
        <v>Déguisement (DEX)</v>
      </c>
      <c r="F33" t="str">
        <v>Affinité : +10</v>
      </c>
      <c r="G33">
        <v>10</v>
      </c>
      <c r="I33" t="str">
        <v>Snake fangs</v>
      </c>
      <c r="J33">
        <v>5</v>
      </c>
      <c r="N33" t="str">
        <v>Snake fangs</v>
      </c>
      <c r="O33">
        <v>2</v>
      </c>
      <c r="Q33" t="str">
        <v>Snake fangs</v>
      </c>
      <c r="R33" t="str">
        <v>Mêl</v>
      </c>
    </row>
    <row r="34">
      <c r="D34" t="str">
        <v>Pickpocket (DEX)</v>
      </c>
      <c r="F34" t="str">
        <v>Affinité : + 20</v>
      </c>
      <c r="G34">
        <v>20</v>
      </c>
      <c r="I34" t="str">
        <v>Arc court / arbalète légère</v>
      </c>
      <c r="J34">
        <v>3</v>
      </c>
      <c r="K34">
        <v>500</v>
      </c>
      <c r="L34">
        <v>2</v>
      </c>
      <c r="N34" t="str">
        <v>Arc court / arbalète légère</v>
      </c>
      <c r="O34">
        <v>2</v>
      </c>
      <c r="Q34" t="str">
        <v>Arc court / arbalète légère</v>
      </c>
      <c r="R34" t="str">
        <v>Jet</v>
      </c>
    </row>
    <row r="35">
      <c r="D35" t="str">
        <v>Chercher (PER)</v>
      </c>
      <c r="F35" t="str">
        <v xml:space="preserve">Affinité : +30  </v>
      </c>
      <c r="G35">
        <v>30</v>
      </c>
      <c r="I35" t="str">
        <v>Arc long /arbalète lourde</v>
      </c>
      <c r="J35">
        <v>4</v>
      </c>
      <c r="K35">
        <v>1000</v>
      </c>
      <c r="L35">
        <v>3</v>
      </c>
      <c r="N35" t="str">
        <v>Arc long /arbalète lourde</v>
      </c>
      <c r="O35">
        <v>3</v>
      </c>
      <c r="Q35" t="str">
        <v>Arc long /arbalète lourde</v>
      </c>
      <c r="R35" t="str">
        <v>Jet</v>
      </c>
    </row>
    <row r="36">
      <c r="D36" t="str">
        <v>Sens (PER)</v>
      </c>
      <c r="F36" t="str">
        <v>Immunité (maladies): +10</v>
      </c>
      <c r="G36">
        <v>10</v>
      </c>
      <c r="I36" t="str">
        <v>Arbalète à répétition</v>
      </c>
      <c r="J36">
        <v>4</v>
      </c>
      <c r="K36">
        <v>2500</v>
      </c>
      <c r="L36">
        <v>3</v>
      </c>
      <c r="N36" t="str">
        <v>Arbalète à répétition</v>
      </c>
      <c r="O36">
        <v>3</v>
      </c>
      <c r="Q36" t="str">
        <v>Arbalète à répétition</v>
      </c>
      <c r="R36" t="str">
        <v>Jet</v>
      </c>
    </row>
    <row r="37">
      <c r="D37" t="str">
        <v>Sécurité (DEX)</v>
      </c>
      <c r="F37" t="str">
        <v>Immunité (maladies graves) : + 20</v>
      </c>
      <c r="G37">
        <v>20</v>
      </c>
      <c r="I37" t="str">
        <v>Couteau de lancer</v>
      </c>
      <c r="J37">
        <v>2</v>
      </c>
      <c r="K37">
        <v>20</v>
      </c>
      <c r="L37">
        <v>1</v>
      </c>
      <c r="N37" t="str">
        <v>Couteau de lancer</v>
      </c>
      <c r="O37">
        <v>1</v>
      </c>
      <c r="Q37" t="str">
        <v>Couteau de lancer</v>
      </c>
      <c r="R37" t="str">
        <v>Jet</v>
      </c>
    </row>
    <row r="38">
      <c r="D38" t="str">
        <v>Conn. des rues (PER)</v>
      </c>
      <c r="F38" t="str">
        <v>Immunité (radiations) : + 30</v>
      </c>
      <c r="G38">
        <v>30</v>
      </c>
      <c r="I38" t="str">
        <v>caillou</v>
      </c>
      <c r="J38">
        <v>0</v>
      </c>
      <c r="K38">
        <v>0</v>
      </c>
      <c r="L38">
        <v>1</v>
      </c>
      <c r="N38" t="str">
        <v>caillou</v>
      </c>
      <c r="O38">
        <v>1</v>
      </c>
      <c r="Q38" t="str">
        <v>caillou</v>
      </c>
      <c r="R38" t="str">
        <v>Jet</v>
      </c>
    </row>
    <row r="39">
      <c r="D39" t="str">
        <v>Pilotage définir type (REF)</v>
      </c>
      <c r="F39" t="str">
        <v>Réputation: + 10</v>
      </c>
      <c r="G39">
        <v>10</v>
      </c>
      <c r="I39" t="str">
        <v>Shuriken</v>
      </c>
      <c r="J39">
        <v>1</v>
      </c>
      <c r="K39">
        <v>25</v>
      </c>
      <c r="L39">
        <v>1</v>
      </c>
      <c r="N39" t="str">
        <v>Shuriken</v>
      </c>
      <c r="O39">
        <v>1</v>
      </c>
      <c r="Q39" t="str">
        <v>Shuriken</v>
      </c>
      <c r="R39" t="str">
        <v>Jet</v>
      </c>
    </row>
    <row r="40">
      <c r="D40" t="str">
        <v>Explosifs,demolition (INT)</v>
      </c>
      <c r="F40" t="str">
        <v>Réputation : +20</v>
      </c>
      <c r="G40">
        <v>20</v>
      </c>
      <c r="I40" t="str">
        <v>Grenades incapacitantes</v>
      </c>
      <c r="J40">
        <v>1</v>
      </c>
      <c r="K40">
        <v>300</v>
      </c>
      <c r="L40">
        <v>2</v>
      </c>
      <c r="N40" t="str">
        <v>Grenades incapacitantes</v>
      </c>
      <c r="O40">
        <v>2</v>
      </c>
      <c r="Q40" t="str">
        <v>Grenades incapacitantes</v>
      </c>
      <c r="R40" t="str">
        <v>Jet</v>
      </c>
    </row>
    <row r="41">
      <c r="D41" t="str">
        <v>Corp système (INT)</v>
      </c>
      <c r="F41" t="str">
        <v>Revenus: +10</v>
      </c>
      <c r="G41">
        <v>10</v>
      </c>
      <c r="I41" t="str">
        <v>Grenades à plasma</v>
      </c>
      <c r="J41">
        <v>8</v>
      </c>
      <c r="K41">
        <v>1500</v>
      </c>
      <c r="L41">
        <v>2</v>
      </c>
      <c r="N41" t="str">
        <v>Grenades à plasma</v>
      </c>
      <c r="O41">
        <v>2</v>
      </c>
      <c r="Q41" t="str">
        <v>Grenades à plasma</v>
      </c>
      <c r="R41" t="str">
        <v>Jet</v>
      </c>
    </row>
    <row r="42">
      <c r="D42" t="str">
        <v>Affinité (VOL) Téléportation</v>
      </c>
      <c r="F42" t="str">
        <v>Revenus : +20</v>
      </c>
      <c r="G42">
        <v>20</v>
      </c>
      <c r="I42" t="str">
        <v>Grenade à fragmentation</v>
      </c>
      <c r="J42">
        <v>6</v>
      </c>
      <c r="K42">
        <v>300</v>
      </c>
      <c r="L42">
        <v>2</v>
      </c>
      <c r="N42" t="str">
        <v>Grenade à fragmentation</v>
      </c>
      <c r="O42">
        <v>2</v>
      </c>
      <c r="Q42" t="str">
        <v>Grenade à fragmentation</v>
      </c>
      <c r="R42" t="str">
        <v>Jet</v>
      </c>
    </row>
    <row r="43">
      <c r="F43" t="str">
        <v>Revenus : +30</v>
      </c>
      <c r="G43">
        <v>30</v>
      </c>
      <c r="I43" t="str">
        <v>Street line palm pistol</v>
      </c>
      <c r="J43">
        <v>4</v>
      </c>
      <c r="K43">
        <v>500</v>
      </c>
      <c r="L43">
        <v>1</v>
      </c>
      <c r="N43" t="str">
        <v>Street line palm pistol</v>
      </c>
      <c r="O43">
        <v>1</v>
      </c>
      <c r="Q43" t="str">
        <v>Street line palm pistol</v>
      </c>
      <c r="R43" t="str">
        <v>Fire</v>
      </c>
    </row>
    <row r="44">
      <c r="F44" t="str">
        <v>Revenus : + 40</v>
      </c>
      <c r="G44">
        <v>40</v>
      </c>
      <c r="I44" t="str">
        <v>Cybertech secutity</v>
      </c>
      <c r="J44">
        <v>4</v>
      </c>
      <c r="K44">
        <v>800</v>
      </c>
      <c r="L44">
        <v>1</v>
      </c>
      <c r="N44" t="str">
        <v>Cybertech secutity</v>
      </c>
      <c r="O44">
        <v>1</v>
      </c>
      <c r="Q44" t="str">
        <v>Cybertech secutity</v>
      </c>
      <c r="R44" t="str">
        <v>Fire</v>
      </c>
    </row>
    <row r="45">
      <c r="F45" t="str">
        <v xml:space="preserve">Revenus : +50 </v>
      </c>
      <c r="G45">
        <v>50</v>
      </c>
      <c r="I45" t="str">
        <v>Colt Python</v>
      </c>
      <c r="J45">
        <v>5</v>
      </c>
      <c r="K45">
        <v>2000</v>
      </c>
      <c r="L45">
        <v>2</v>
      </c>
      <c r="N45" t="str">
        <v>Colt Python</v>
      </c>
      <c r="O45">
        <v>2</v>
      </c>
      <c r="Q45" t="str">
        <v>Colt Python</v>
      </c>
      <c r="R45" t="str">
        <v>Fire</v>
      </c>
    </row>
    <row r="46">
      <c r="F46" t="str">
        <v>Richesse: + 10</v>
      </c>
      <c r="G46">
        <v>10</v>
      </c>
      <c r="I46" t="str">
        <v>Wild Predator</v>
      </c>
      <c r="J46">
        <v>6</v>
      </c>
      <c r="K46">
        <v>6000</v>
      </c>
      <c r="L46">
        <v>2</v>
      </c>
      <c r="N46" t="str">
        <v>Wild Predator</v>
      </c>
      <c r="O46">
        <v>2</v>
      </c>
      <c r="Q46" t="str">
        <v>Wild Predator</v>
      </c>
      <c r="R46" t="str">
        <v>Fire</v>
      </c>
    </row>
    <row r="47">
      <c r="F47" t="str">
        <v>Richesse : + 20</v>
      </c>
      <c r="G47">
        <v>20</v>
      </c>
      <c r="I47" t="str">
        <v>Cybertech Silverhawk</v>
      </c>
      <c r="J47">
        <v>7</v>
      </c>
      <c r="K47">
        <v>7000</v>
      </c>
      <c r="L47">
        <v>3</v>
      </c>
      <c r="N47" t="str">
        <v>Cybertech Silverhawk</v>
      </c>
      <c r="O47">
        <v>3</v>
      </c>
      <c r="Q47" t="str">
        <v>Cybertech Silverhawk</v>
      </c>
      <c r="R47" t="str">
        <v>Fire</v>
      </c>
    </row>
    <row r="48">
      <c r="F48" t="str">
        <v xml:space="preserve">Richesse : +30  </v>
      </c>
      <c r="G48">
        <v>30</v>
      </c>
      <c r="I48" t="str">
        <v>Pistolet Gauss</v>
      </c>
      <c r="J48">
        <v>7</v>
      </c>
      <c r="K48">
        <v>15000</v>
      </c>
      <c r="L48">
        <v>3</v>
      </c>
      <c r="N48" t="str">
        <v>Pistolet Gauss</v>
      </c>
      <c r="O48">
        <v>3</v>
      </c>
      <c r="Q48" t="str">
        <v>Pistolet Gauss</v>
      </c>
      <c r="R48" t="str">
        <v>Fire</v>
      </c>
    </row>
    <row r="49">
      <c r="F49" t="str">
        <v>Ambidextre: +10</v>
      </c>
      <c r="G49">
        <v>10</v>
      </c>
      <c r="I49" t="str">
        <v>INDRA</v>
      </c>
      <c r="J49">
        <v>7</v>
      </c>
      <c r="K49">
        <v>3000</v>
      </c>
      <c r="L49">
        <v>3</v>
      </c>
      <c r="N49" t="str">
        <v>INDRA</v>
      </c>
      <c r="O49">
        <v>3</v>
      </c>
      <c r="Q49" t="str">
        <v>INDRA</v>
      </c>
      <c r="R49" t="str">
        <v>Fire</v>
      </c>
    </row>
    <row r="50">
      <c r="F50" t="str">
        <v>Attentif: +10</v>
      </c>
      <c r="G50">
        <v>10</v>
      </c>
      <c r="I50" t="str">
        <v>Leader AF4</v>
      </c>
      <c r="J50">
        <v>8</v>
      </c>
      <c r="K50">
        <v>4000</v>
      </c>
      <c r="L50">
        <v>4</v>
      </c>
      <c r="N50" t="str">
        <v>Leader AF4</v>
      </c>
      <c r="O50">
        <v>4</v>
      </c>
      <c r="Q50" t="str">
        <v>Leader AF4</v>
      </c>
      <c r="R50" t="str">
        <v>Fire</v>
      </c>
    </row>
    <row r="51">
      <c r="F51" t="str">
        <v>Berserk: +10</v>
      </c>
      <c r="G51">
        <v>10</v>
      </c>
      <c r="I51" t="str">
        <v>Redfield 540</v>
      </c>
      <c r="J51">
        <v>9</v>
      </c>
      <c r="K51">
        <v>6000</v>
      </c>
      <c r="L51">
        <v>4</v>
      </c>
      <c r="N51" t="str">
        <v>Redfield 540</v>
      </c>
      <c r="O51">
        <v>4</v>
      </c>
      <c r="Q51" t="str">
        <v>Redfield 540</v>
      </c>
      <c r="R51" t="str">
        <v>Fire</v>
      </c>
    </row>
    <row r="52">
      <c r="F52" t="str">
        <v>Bonne constitution: +10</v>
      </c>
      <c r="G52">
        <v>10</v>
      </c>
      <c r="I52" t="str">
        <v>Widowmaker</v>
      </c>
      <c r="J52">
        <v>11</v>
      </c>
      <c r="K52">
        <v>20000</v>
      </c>
      <c r="L52">
        <v>5</v>
      </c>
      <c r="N52" t="str">
        <v>Widowmaker</v>
      </c>
      <c r="O52">
        <v>5</v>
      </c>
      <c r="Q52" t="str">
        <v>Widowmaker</v>
      </c>
      <c r="R52" t="str">
        <v>Fire</v>
      </c>
    </row>
    <row r="53">
      <c r="F53" t="str">
        <v>Concentration: +10</v>
      </c>
      <c r="G53">
        <v>10</v>
      </c>
      <c r="I53" t="str">
        <v>Devastator</v>
      </c>
      <c r="J53">
        <v>9</v>
      </c>
      <c r="K53">
        <v>12000</v>
      </c>
      <c r="L53">
        <v>5</v>
      </c>
      <c r="N53" t="str">
        <v>Devastator</v>
      </c>
      <c r="O53">
        <v>5</v>
      </c>
      <c r="Q53" t="str">
        <v>Devastator</v>
      </c>
      <c r="R53" t="str">
        <v>Fire</v>
      </c>
    </row>
    <row r="54">
      <c r="F54" t="str">
        <v>Contacts sociaux : +10</v>
      </c>
      <c r="G54">
        <v>10</v>
      </c>
      <c r="I54" t="str">
        <v>Railgun</v>
      </c>
      <c r="J54">
        <v>10</v>
      </c>
      <c r="K54">
        <v>15000</v>
      </c>
      <c r="L54">
        <v>5</v>
      </c>
      <c r="N54" t="str">
        <v>Railgun</v>
      </c>
      <c r="O54">
        <v>5</v>
      </c>
      <c r="Q54" t="str">
        <v>Railgun</v>
      </c>
      <c r="R54" t="str">
        <v>Fire</v>
      </c>
    </row>
    <row r="55">
      <c r="F55" t="str">
        <v>Convalescence rapide : +10</v>
      </c>
      <c r="G55">
        <v>10</v>
      </c>
      <c r="I55" t="str">
        <v>Inferno</v>
      </c>
      <c r="J55">
        <v>8</v>
      </c>
      <c r="K55">
        <v>4000</v>
      </c>
      <c r="L55">
        <v>5</v>
      </c>
      <c r="N55" t="str">
        <v>Inferno</v>
      </c>
      <c r="O55">
        <v>5</v>
      </c>
      <c r="Q55" t="str">
        <v>Inferno</v>
      </c>
      <c r="R55" t="str">
        <v>Fire</v>
      </c>
    </row>
    <row r="56">
      <c r="F56" t="str">
        <v>Esprit attentif : +10</v>
      </c>
      <c r="G56">
        <v>10</v>
      </c>
      <c r="I56" t="str">
        <v>C-Tech Tsunami</v>
      </c>
      <c r="J56">
        <v>15</v>
      </c>
      <c r="K56">
        <v>30000</v>
      </c>
      <c r="L56">
        <v>6</v>
      </c>
      <c r="N56" t="str">
        <v>C-Tech Tsunami</v>
      </c>
      <c r="O56">
        <v>6</v>
      </c>
      <c r="Q56" t="str">
        <v>C-Tech Tsunami</v>
      </c>
      <c r="R56" t="str">
        <v>Fire</v>
      </c>
    </row>
    <row r="57">
      <c r="F57" t="str">
        <v>Liens familiaux étroits : +10</v>
      </c>
      <c r="G57">
        <v>10</v>
      </c>
      <c r="I57" t="str">
        <v>Wild RPG</v>
      </c>
      <c r="J57">
        <v>13</v>
      </c>
      <c r="K57">
        <v>9000</v>
      </c>
      <c r="L57">
        <v>5</v>
      </c>
      <c r="N57" t="str">
        <v>Wild RPG</v>
      </c>
      <c r="O57">
        <v>5</v>
      </c>
      <c r="Q57" t="str">
        <v>Wild RPG</v>
      </c>
      <c r="R57" t="str">
        <v>Fire</v>
      </c>
    </row>
    <row r="58">
      <c r="F58" t="str">
        <v>Orientation: +10</v>
      </c>
      <c r="G58">
        <v>10</v>
      </c>
      <c r="I58" t="str">
        <v>Amélioration Toucher Wild Predator</v>
      </c>
      <c r="L58">
        <v>1</v>
      </c>
    </row>
    <row r="59">
      <c r="F59" t="str">
        <v>Sommeil léger : +10</v>
      </c>
      <c r="G59">
        <v>10</v>
      </c>
      <c r="I59" t="str">
        <v>Amélioration dégats Wild Predator</v>
      </c>
      <c r="L59">
        <v>1</v>
      </c>
    </row>
    <row r="60">
      <c r="F60" t="str">
        <v>Téméraire : +10</v>
      </c>
      <c r="G60">
        <v>10</v>
      </c>
      <c r="I60" t="str">
        <v>Amélioration RA Wild Predator</v>
      </c>
      <c r="L60">
        <v>1</v>
      </c>
    </row>
    <row r="61">
      <c r="F61" t="str">
        <v>Volonté de fer : +10</v>
      </c>
      <c r="G61">
        <v>10</v>
      </c>
    </row>
    <row r="62">
      <c r="F62" t="str">
        <v>Apprentissage rapide·: +10</v>
      </c>
      <c r="G62">
        <v>10</v>
      </c>
    </row>
    <row r="63">
      <c r="F63" t="str">
        <v>Mémoire Eidétique: +10</v>
      </c>
      <c r="G63">
        <v>10</v>
      </c>
    </row>
    <row r="64">
      <c r="F64" t="str">
        <v>Chantage: +10</v>
      </c>
      <c r="G64">
        <v>10</v>
      </c>
    </row>
    <row r="65">
      <c r="F65" t="str">
        <v>Chef de bande: +10</v>
      </c>
      <c r="G65">
        <v>10</v>
      </c>
    </row>
    <row r="66">
      <c r="F66" t="str">
        <v>Grand: +10</v>
      </c>
      <c r="G66">
        <v>10</v>
      </c>
    </row>
    <row r="67">
      <c r="F67" t="str">
        <v>Mentor: +10</v>
      </c>
      <c r="G67">
        <v>10</v>
      </c>
    </row>
    <row r="68">
      <c r="F68" t="str">
        <v>Réflexes éclairs: +10</v>
      </c>
      <c r="G68">
        <v>10</v>
      </c>
    </row>
    <row r="69">
      <c r="F69" t="str">
        <v>Touche-à-tout: +10</v>
      </c>
      <c r="G69">
        <v>10</v>
      </c>
    </row>
    <row r="70">
      <c r="F70" t="str">
        <v>Concentration rapide: +10</v>
      </c>
      <c r="G70">
        <v>10</v>
      </c>
    </row>
    <row r="71">
      <c r="F71" t="str">
        <v>Chic: +10</v>
      </c>
      <c r="G71">
        <v>10</v>
      </c>
    </row>
    <row r="72">
      <c r="F72" t="str">
        <v xml:space="preserve">Maîtrise psychique: +20 </v>
      </c>
      <c r="G72">
        <v>20</v>
      </c>
    </row>
    <row r="73">
      <c r="F73" t="str">
        <v>Prestige corporatiste: +20</v>
      </c>
      <c r="G73">
        <v>20</v>
      </c>
    </row>
    <row r="74">
      <c r="F74" t="str">
        <v>Protection : +20</v>
      </c>
      <c r="G74">
        <v>20</v>
      </c>
    </row>
    <row r="75">
      <c r="F75" t="str">
        <v>Réserve de PSP : +20</v>
      </c>
      <c r="G75">
        <v>20</v>
      </c>
    </row>
    <row r="76">
      <c r="F76" t="str">
        <v>Taille de géant : +30</v>
      </c>
      <c r="G76">
        <v>30</v>
      </c>
    </row>
    <row r="77">
      <c r="F77" t="str">
        <v>Affinité Science : +40</v>
      </c>
      <c r="G77">
        <v>40</v>
      </c>
    </row>
    <row r="78">
      <c r="F78" t="str">
        <v>Ennemis : -10</v>
      </c>
      <c r="G78">
        <v>-10</v>
      </c>
    </row>
    <row r="79">
      <c r="F79" t="str">
        <v>Ennemis : -20</v>
      </c>
      <c r="G79">
        <v>-20</v>
      </c>
    </row>
    <row r="80">
      <c r="F80" t="str">
        <v>Ennemis : -30</v>
      </c>
      <c r="G80">
        <v>-30</v>
      </c>
    </row>
    <row r="81">
      <c r="F81" t="str">
        <v>Mauvaise réputation : -10</v>
      </c>
      <c r="G81">
        <v>-10</v>
      </c>
    </row>
    <row r="82">
      <c r="F82" t="str">
        <v>Mauvaise réputation : -20</v>
      </c>
      <c r="G82">
        <v>-20</v>
      </c>
    </row>
    <row r="83">
      <c r="F83" t="str">
        <v>Circonstance nuisible : -10</v>
      </c>
      <c r="G83">
        <v>-10</v>
      </c>
    </row>
    <row r="84">
      <c r="F84" t="str">
        <v>Allergie : -10</v>
      </c>
      <c r="G84">
        <v>-10</v>
      </c>
    </row>
    <row r="85">
      <c r="F85" t="str">
        <v>Aversion : -10</v>
      </c>
      <c r="G85">
        <v>-10</v>
      </c>
    </row>
    <row r="86">
      <c r="F86" t="str">
        <v>Cauchemars : -10</v>
      </c>
      <c r="G86">
        <v>-10</v>
      </c>
    </row>
    <row r="87">
      <c r="F87" t="str">
        <v>Cœur sensible : -10</v>
      </c>
      <c r="G87">
        <v>-10</v>
      </c>
    </row>
    <row r="88">
      <c r="F88" t="str">
        <v>Compulsion: -10</v>
      </c>
      <c r="G88">
        <v>-10</v>
      </c>
    </row>
    <row r="89">
      <c r="F89" t="str">
        <v>Frêle constitution : -10</v>
      </c>
      <c r="G89">
        <v>-10</v>
      </c>
    </row>
    <row r="90">
      <c r="F90" t="str">
        <v>Illusion: -10</v>
      </c>
      <c r="G90">
        <v>-10</v>
      </c>
    </row>
    <row r="91">
      <c r="F91" t="str">
        <v>Secret: -10</v>
      </c>
      <c r="G91">
        <v>-10</v>
      </c>
    </row>
    <row r="92">
      <c r="F92" t="str">
        <v>Sommeil lourd: -10</v>
      </c>
      <c r="G92">
        <v>-10</v>
      </c>
    </row>
    <row r="93">
      <c r="F93" t="str">
        <v>Timidité: -10</v>
      </c>
      <c r="G93">
        <v>-10</v>
      </c>
    </row>
    <row r="94">
      <c r="F94" t="str">
        <v>Difficultés: -10</v>
      </c>
      <c r="G94">
        <v>-10</v>
      </c>
    </row>
    <row r="95">
      <c r="F95" t="str">
        <v>Don tapageur: -10</v>
      </c>
      <c r="G95">
        <v>-10</v>
      </c>
    </row>
    <row r="96">
      <c r="F96" t="str">
        <v>Effets secondaires nuisibles: -10</v>
      </c>
      <c r="G96">
        <v>-10</v>
      </c>
    </row>
    <row r="97">
      <c r="F97" t="str">
        <v>Infaillibilité illusoire: -20</v>
      </c>
      <c r="G97">
        <v>-20</v>
      </c>
    </row>
    <row r="98">
      <c r="F98" t="str">
        <v>Manque de concentration: -20</v>
      </c>
      <c r="G98">
        <v>-20</v>
      </c>
    </row>
    <row r="99">
      <c r="F99" t="str">
        <v>Faible -20</v>
      </c>
      <c r="G99">
        <v>-20</v>
      </c>
    </row>
    <row r="100">
      <c r="F100" t="str">
        <v>Haine: -20</v>
      </c>
      <c r="G100">
        <v>-20</v>
      </c>
    </row>
    <row r="101">
      <c r="F101" t="str">
        <v>Mauvaise aura: -20</v>
      </c>
      <c r="G101">
        <v>-20</v>
      </c>
    </row>
    <row r="102">
      <c r="F102" t="str">
        <v>Emporté: -20</v>
      </c>
      <c r="G102">
        <v>-20</v>
      </c>
    </row>
    <row r="103">
      <c r="F103" t="str">
        <v>Petit: -20</v>
      </c>
      <c r="G103">
        <v>-20</v>
      </c>
    </row>
    <row r="104">
      <c r="F104" t="str">
        <v>Vengeance: -20</v>
      </c>
      <c r="G104">
        <v>-20</v>
      </c>
    </row>
    <row r="105">
      <c r="F105" t="str">
        <v>Concentration lente: -20</v>
      </c>
      <c r="G105">
        <v>-20</v>
      </c>
    </row>
    <row r="106">
      <c r="F106" t="str">
        <v>Défaillance majeure : -20</v>
      </c>
      <c r="G106">
        <v>-20</v>
      </c>
    </row>
    <row r="107">
      <c r="F107" t="str">
        <v>Esprit fragile: -20</v>
      </c>
      <c r="G107">
        <v>-20</v>
      </c>
    </row>
    <row r="108">
      <c r="F108" t="str">
        <v>Dépendance: -30</v>
      </c>
      <c r="G108">
        <v>-30</v>
      </c>
    </row>
    <row r="109">
      <c r="F109" t="str">
        <v>Pouvoir douloureux: -30</v>
      </c>
      <c r="G109">
        <v>-30</v>
      </c>
    </row>
    <row r="110">
      <c r="F110" t="str">
        <v>Nanisme: -40</v>
      </c>
      <c r="G110">
        <v>-40</v>
      </c>
    </row>
    <row r="111">
      <c r="F111" t="str">
        <v>Protection mentale inexistante: -40</v>
      </c>
      <c r="G111">
        <v>-40</v>
      </c>
    </row>
    <row r="112">
      <c r="F112" t="str">
        <v>Dans les nuages: -30</v>
      </c>
      <c r="G112">
        <v>-30</v>
      </c>
    </row>
  </sheetData>
  <pageMargins left="0.7" right="0.7" top="0.75" bottom="0.75" header="0" footer="0"/>
  <ignoredErrors>
    <ignoredError numberStoredAsText="1" sqref="A3:AD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char_sheet</vt:lpstr>
      <vt:lpstr>données</vt:lpstr>
      <vt:lpstr>listes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2021-12-21T11:06:18Z</dcterms:created>
  <dc:creator>joel pasche</dc:creator>
</cp:coreProperties>
</file>